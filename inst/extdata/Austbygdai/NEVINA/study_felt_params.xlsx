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ools\R\Projects\Flomberegning\Trond_Reitan_FFA\R_FFA_FullLokal_RegionalAnalyse\Austbygdåi\NEVINA\"/>
    </mc:Choice>
  </mc:AlternateContent>
  <xr:revisionPtr revIDLastSave="0" documentId="13_ncr:1_{C927BAAF-E457-406E-87E7-706C012256A3}" xr6:coauthVersionLast="47" xr6:coauthVersionMax="47" xr10:uidLastSave="{00000000-0000-0000-0000-000000000000}"/>
  <bookViews>
    <workbookView xWindow="28680" yWindow="-120" windowWidth="29040" windowHeight="17520" xr2:uid="{C5F8F176-9D7C-497C-BB2A-5C16E2BF10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9" i="1"/>
  <c r="H9" i="1"/>
  <c r="I8" i="1"/>
  <c r="H8" i="1"/>
  <c r="I7" i="1"/>
  <c r="H7" i="1"/>
  <c r="I4" i="1"/>
  <c r="H4" i="1"/>
  <c r="I12" i="1"/>
  <c r="I11" i="1"/>
  <c r="H5" i="1"/>
  <c r="H3" i="1"/>
  <c r="G3" i="1"/>
  <c r="I3" i="1" s="1"/>
  <c r="G4" i="1"/>
  <c r="G5" i="1"/>
  <c r="I5" i="1" s="1"/>
  <c r="G6" i="1"/>
  <c r="I6" i="1" s="1"/>
  <c r="G7" i="1"/>
  <c r="G8" i="1"/>
  <c r="G9" i="1"/>
  <c r="G10" i="1"/>
  <c r="I10" i="1" s="1"/>
  <c r="G11" i="1"/>
  <c r="G12" i="1"/>
  <c r="G13" i="1"/>
  <c r="G14" i="1"/>
  <c r="G15" i="1"/>
  <c r="I15" i="1" s="1"/>
  <c r="F15" i="1"/>
  <c r="H15" i="1" s="1"/>
  <c r="F14" i="1"/>
  <c r="F13" i="1"/>
  <c r="F12" i="1"/>
  <c r="H12" i="1" s="1"/>
  <c r="F11" i="1"/>
  <c r="H11" i="1" s="1"/>
  <c r="F10" i="1"/>
  <c r="H10" i="1" s="1"/>
  <c r="F9" i="1"/>
  <c r="F8" i="1"/>
  <c r="F7" i="1"/>
  <c r="F6" i="1"/>
  <c r="H6" i="1" s="1"/>
  <c r="F5" i="1"/>
  <c r="F4" i="1"/>
  <c r="F3" i="1"/>
</calcChain>
</file>

<file path=xl/sharedStrings.xml><?xml version="1.0" encoding="utf-8"?>
<sst xmlns="http://schemas.openxmlformats.org/spreadsheetml/2006/main" count="475" uniqueCount="378">
  <si>
    <t>avr.specific.discharge</t>
  </si>
  <si>
    <t>area.km2</t>
  </si>
  <si>
    <t>eff.lake.perc</t>
  </si>
  <si>
    <t>river.length.main.km</t>
  </si>
  <si>
    <t>temp.feb.celcius</t>
  </si>
  <si>
    <t>temp.mar.celcius</t>
  </si>
  <si>
    <t>precip.melt.may</t>
  </si>
  <si>
    <t>glacier.perc</t>
  </si>
  <si>
    <t>forest.perc</t>
  </si>
  <si>
    <t>hypso.height.10perc</t>
  </si>
  <si>
    <t>precipitation.july</t>
  </si>
  <si>
    <t>sum.precip.melt.june</t>
  </si>
  <si>
    <t>total.river.length.without.lakes.all.km</t>
  </si>
  <si>
    <t>NEVINA</t>
  </si>
  <si>
    <t>Hydra2</t>
  </si>
  <si>
    <t>Feltvariabel</t>
  </si>
  <si>
    <t>HYDRA2-FLOMANALYSE</t>
  </si>
  <si>
    <t>NEVINA.shp</t>
  </si>
  <si>
    <t>areal_km2</t>
  </si>
  <si>
    <t>ID</t>
  </si>
  <si>
    <t>guID</t>
  </si>
  <si>
    <t>vassdragNr</t>
  </si>
  <si>
    <t>klimaReg</t>
  </si>
  <si>
    <t>region</t>
  </si>
  <si>
    <t>QN6190_mmA</t>
  </si>
  <si>
    <t>QN6190_lsk</t>
  </si>
  <si>
    <t>heightMin</t>
  </si>
  <si>
    <t>height10</t>
  </si>
  <si>
    <t>height20</t>
  </si>
  <si>
    <t>height30</t>
  </si>
  <si>
    <t>height40</t>
  </si>
  <si>
    <t>height50</t>
  </si>
  <si>
    <t>height60</t>
  </si>
  <si>
    <t>height70</t>
  </si>
  <si>
    <t>height80</t>
  </si>
  <si>
    <t>height90</t>
  </si>
  <si>
    <t>heightMax</t>
  </si>
  <si>
    <t>sjoPro</t>
  </si>
  <si>
    <t>brePro</t>
  </si>
  <si>
    <t>skoPro</t>
  </si>
  <si>
    <t>jbrukPro</t>
  </si>
  <si>
    <t>myrPro</t>
  </si>
  <si>
    <t>sfjellPro</t>
  </si>
  <si>
    <t>urbanPro</t>
  </si>
  <si>
    <t>annetPro</t>
  </si>
  <si>
    <t>ndemtA_km2</t>
  </si>
  <si>
    <t>sumAMagHRV</t>
  </si>
  <si>
    <t>sumAMag_NV</t>
  </si>
  <si>
    <t>antMag</t>
  </si>
  <si>
    <t>antMag_ID</t>
  </si>
  <si>
    <t>tillopAkt</t>
  </si>
  <si>
    <t>vatnLnrUt</t>
  </si>
  <si>
    <t>magNrUtlop</t>
  </si>
  <si>
    <t>effsjoPro</t>
  </si>
  <si>
    <t>effsjoTil</t>
  </si>
  <si>
    <t>feltLen_km</t>
  </si>
  <si>
    <t>elveLengde</t>
  </si>
  <si>
    <t>sumElvLen</t>
  </si>
  <si>
    <t>feltLenTil</t>
  </si>
  <si>
    <t>gradElv</t>
  </si>
  <si>
    <t>grad1085</t>
  </si>
  <si>
    <t>drenTetthe</t>
  </si>
  <si>
    <t>slopeMean</t>
  </si>
  <si>
    <t>leirPro</t>
  </si>
  <si>
    <t>tmSom_6190</t>
  </si>
  <si>
    <t>tmVin_6190</t>
  </si>
  <si>
    <t>rrSom_6190</t>
  </si>
  <si>
    <t>rrVin_6190</t>
  </si>
  <si>
    <t>b3a38372-5e22-4ae0-a5c6-c71739a5fa6b</t>
  </si>
  <si>
    <t>016.G51A0</t>
  </si>
  <si>
    <t>Sor</t>
  </si>
  <si>
    <t>n_Qm_9120</t>
  </si>
  <si>
    <t>n_Q5_9120</t>
  </si>
  <si>
    <t>n_Q10_9120</t>
  </si>
  <si>
    <t>n_Q20_9120</t>
  </si>
  <si>
    <t>n_Q50_9120</t>
  </si>
  <si>
    <t>n_QC9120</t>
  </si>
  <si>
    <t>n_QCC9120</t>
  </si>
  <si>
    <t>n_QD9120</t>
  </si>
  <si>
    <t>NIFS_Q10_1</t>
  </si>
  <si>
    <t>n_kfi_9120</t>
  </si>
  <si>
    <t>NA</t>
  </si>
  <si>
    <t>n_kQm9120</t>
  </si>
  <si>
    <t>n_kQ59120</t>
  </si>
  <si>
    <t>n_kQ109120</t>
  </si>
  <si>
    <t>n_kQ209120</t>
  </si>
  <si>
    <t>n_kQ509120</t>
  </si>
  <si>
    <t>n_kQC9120</t>
  </si>
  <si>
    <t>n_kQCC9120</t>
  </si>
  <si>
    <t>n_kQD9120</t>
  </si>
  <si>
    <t>NIFS_Q10_2</t>
  </si>
  <si>
    <t>n_Kfa_9120</t>
  </si>
  <si>
    <t>r_Qm_9120</t>
  </si>
  <si>
    <t>r_Q5_9120</t>
  </si>
  <si>
    <t>r_Q10_9120</t>
  </si>
  <si>
    <t>r_Q20_9120</t>
  </si>
  <si>
    <t>r_Q50_9120</t>
  </si>
  <si>
    <t>r_QC_9120</t>
  </si>
  <si>
    <t>r_QCC_9120</t>
  </si>
  <si>
    <t>r_QD_9120</t>
  </si>
  <si>
    <t>RFFA2018_2</t>
  </si>
  <si>
    <t>r_kfi_9120</t>
  </si>
  <si>
    <t>r_kQm9120</t>
  </si>
  <si>
    <t>r_kQ59120</t>
  </si>
  <si>
    <t>r_kQ109120</t>
  </si>
  <si>
    <t>r_kQ209120</t>
  </si>
  <si>
    <t>r_kQ509120</t>
  </si>
  <si>
    <t>r_kQC9120</t>
  </si>
  <si>
    <t>r_kQCC9120</t>
  </si>
  <si>
    <t>r_kQD9120</t>
  </si>
  <si>
    <t>RFFA2018_3</t>
  </si>
  <si>
    <t>r_Kfa_9120</t>
  </si>
  <si>
    <t>r_Kuf_9120</t>
  </si>
  <si>
    <t>ln_Qm9120</t>
  </si>
  <si>
    <t>ln_Q59120</t>
  </si>
  <si>
    <t>ln_Q109120</t>
  </si>
  <si>
    <t>ln_Q209120</t>
  </si>
  <si>
    <t>ln_Q509120</t>
  </si>
  <si>
    <t>ln_QC9120</t>
  </si>
  <si>
    <t>ln_QCC9120</t>
  </si>
  <si>
    <t>ln_QD9120</t>
  </si>
  <si>
    <t>lokNIFS__1</t>
  </si>
  <si>
    <t>ln_kfi9120</t>
  </si>
  <si>
    <t>ln_kQm9120</t>
  </si>
  <si>
    <t>ln_kQ59120</t>
  </si>
  <si>
    <t>lnkQ109120</t>
  </si>
  <si>
    <t>lnkQ209120</t>
  </si>
  <si>
    <t>lnkQ509120</t>
  </si>
  <si>
    <t>lnkQC9120</t>
  </si>
  <si>
    <t>lnkQCC9120</t>
  </si>
  <si>
    <t>lnkQD9120</t>
  </si>
  <si>
    <t>lnkQM9120</t>
  </si>
  <si>
    <t>lr_Qm9120</t>
  </si>
  <si>
    <t>lr_Q59120</t>
  </si>
  <si>
    <t>lr_Q109120</t>
  </si>
  <si>
    <t>lr_Q209120</t>
  </si>
  <si>
    <t>lr_Q509120</t>
  </si>
  <si>
    <t>lr_QC9120</t>
  </si>
  <si>
    <t>lr_QCC9120</t>
  </si>
  <si>
    <t>lr_QD9120</t>
  </si>
  <si>
    <t>lokRFFA2_1</t>
  </si>
  <si>
    <t>lr_kfi9120</t>
  </si>
  <si>
    <t>lr_kQm9120</t>
  </si>
  <si>
    <t>lr_kQ59120</t>
  </si>
  <si>
    <t>lrkQ109120</t>
  </si>
  <si>
    <t>lrkQ209120</t>
  </si>
  <si>
    <t>lrkQ509120</t>
  </si>
  <si>
    <t>lrkQC9120</t>
  </si>
  <si>
    <t>lrkQCC9120</t>
  </si>
  <si>
    <t>lrkQD9120</t>
  </si>
  <si>
    <t>lrkQM9120</t>
  </si>
  <si>
    <t>Q1991</t>
  </si>
  <si>
    <t>Q1992</t>
  </si>
  <si>
    <t>Q1993</t>
  </si>
  <si>
    <t>Q1994</t>
  </si>
  <si>
    <t>Q1995</t>
  </si>
  <si>
    <t>Q1996</t>
  </si>
  <si>
    <t>Q1997</t>
  </si>
  <si>
    <t>Q1998</t>
  </si>
  <si>
    <t>Q1999</t>
  </si>
  <si>
    <t>Q2000</t>
  </si>
  <si>
    <t>Q2001</t>
  </si>
  <si>
    <t>Q2002</t>
  </si>
  <si>
    <t>Q2003</t>
  </si>
  <si>
    <t>Q2004</t>
  </si>
  <si>
    <t>Q2005</t>
  </si>
  <si>
    <t>Q2006</t>
  </si>
  <si>
    <t>Q2007</t>
  </si>
  <si>
    <t>Q2008</t>
  </si>
  <si>
    <t>Q2009</t>
  </si>
  <si>
    <t>Q2010</t>
  </si>
  <si>
    <t>Q2011</t>
  </si>
  <si>
    <t>Q2012</t>
  </si>
  <si>
    <t>Q2013</t>
  </si>
  <si>
    <t>Q2014</t>
  </si>
  <si>
    <t>Q2015</t>
  </si>
  <si>
    <t>Q2016</t>
  </si>
  <si>
    <t>Q2017</t>
  </si>
  <si>
    <t>Q2018</t>
  </si>
  <si>
    <t>Q2019</t>
  </si>
  <si>
    <t>Q2020</t>
  </si>
  <si>
    <t>Q2021</t>
  </si>
  <si>
    <t>QN6190v2mm</t>
  </si>
  <si>
    <t>QN6190v2ls</t>
  </si>
  <si>
    <t>ET9120</t>
  </si>
  <si>
    <t>QNjan_9120</t>
  </si>
  <si>
    <t>QNfeb_9120</t>
  </si>
  <si>
    <t>QNmar_9120</t>
  </si>
  <si>
    <t>QNapr_9120</t>
  </si>
  <si>
    <t>tmJul_6190</t>
  </si>
  <si>
    <t>tmAug_6190</t>
  </si>
  <si>
    <t>tmAar_6190</t>
  </si>
  <si>
    <t>rrAar_6190</t>
  </si>
  <si>
    <t>rrJun_6190</t>
  </si>
  <si>
    <t>rrJul_6190</t>
  </si>
  <si>
    <t>qtMai_6190</t>
  </si>
  <si>
    <t>qtJun_6190</t>
  </si>
  <si>
    <t>qtNov_6190</t>
  </si>
  <si>
    <t>qtMx4_6190</t>
  </si>
  <si>
    <t>tmFeb_6190</t>
  </si>
  <si>
    <t>tmMar_6190</t>
  </si>
  <si>
    <t>CLF_6190</t>
  </si>
  <si>
    <t>Q95_6190</t>
  </si>
  <si>
    <t>Q95Wi_6190</t>
  </si>
  <si>
    <t>Q95Su_6190</t>
  </si>
  <si>
    <t>BFI_6190</t>
  </si>
  <si>
    <t>LavvannSes</t>
  </si>
  <si>
    <t>numID</t>
  </si>
  <si>
    <t>datoTid</t>
  </si>
  <si>
    <t>sign</t>
  </si>
  <si>
    <t>AGS</t>
  </si>
  <si>
    <t>epost</t>
  </si>
  <si>
    <t>opphav</t>
  </si>
  <si>
    <t>NVE</t>
  </si>
  <si>
    <t>noyaktighe</t>
  </si>
  <si>
    <t>malemetode</t>
  </si>
  <si>
    <t>elvenavn</t>
  </si>
  <si>
    <t>AustbygdÃ¥i</t>
  </si>
  <si>
    <t>kommNr</t>
  </si>
  <si>
    <t>kommNavn</t>
  </si>
  <si>
    <t>Tinn</t>
  </si>
  <si>
    <t>fylkeNavn</t>
  </si>
  <si>
    <t>Telemark</t>
  </si>
  <si>
    <t>beregnP_OV</t>
  </si>
  <si>
    <t>beregnP_NS</t>
  </si>
  <si>
    <t>versjon</t>
  </si>
  <si>
    <t>mapUrl</t>
  </si>
  <si>
    <t>KomLavvann</t>
  </si>
  <si>
    <t>X_areal_km2</t>
  </si>
  <si>
    <t>X_QN6190_ls</t>
  </si>
  <si>
    <t>X_QN6190_mm</t>
  </si>
  <si>
    <t>X_skoPro</t>
  </si>
  <si>
    <t>X_sjoPro</t>
  </si>
  <si>
    <t>X_brePro</t>
  </si>
  <si>
    <t>X_jbrukPro</t>
  </si>
  <si>
    <t>X_myrPro</t>
  </si>
  <si>
    <t>X_sfjellPro</t>
  </si>
  <si>
    <t>X_urbanPro</t>
  </si>
  <si>
    <t>X_effsjoPro</t>
  </si>
  <si>
    <t>X_effsjoTil</t>
  </si>
  <si>
    <t>X_gradElv</t>
  </si>
  <si>
    <t>X_feltLen</t>
  </si>
  <si>
    <t>X_grad1085</t>
  </si>
  <si>
    <t>X_elvLengde</t>
  </si>
  <si>
    <t>X_feltLenT</t>
  </si>
  <si>
    <t>X_drenTett</t>
  </si>
  <si>
    <t>X_sumElvLen</t>
  </si>
  <si>
    <t>X_slopeMean</t>
  </si>
  <si>
    <t>X_leirPro</t>
  </si>
  <si>
    <t>X_geometri</t>
  </si>
  <si>
    <t>n_Qm_6190</t>
  </si>
  <si>
    <t>n_Q5_6190</t>
  </si>
  <si>
    <t>n_Q10_6190</t>
  </si>
  <si>
    <t>n_Q20_6190</t>
  </si>
  <si>
    <t>n_Q50_6190</t>
  </si>
  <si>
    <t>n_QC6190</t>
  </si>
  <si>
    <t>n_QCC6190</t>
  </si>
  <si>
    <t>n_QD6190</t>
  </si>
  <si>
    <t>n_QM6190</t>
  </si>
  <si>
    <t>n_kfi_6190</t>
  </si>
  <si>
    <t>n_kQm6190</t>
  </si>
  <si>
    <t>n_kQ56190</t>
  </si>
  <si>
    <t>n_kQ106190</t>
  </si>
  <si>
    <t>n_kQ206190</t>
  </si>
  <si>
    <t>n_kQ506190</t>
  </si>
  <si>
    <t>n_kQC6190</t>
  </si>
  <si>
    <t>n_kQCC6190</t>
  </si>
  <si>
    <t>n_kQD6190</t>
  </si>
  <si>
    <t>NIFS_Q1000</t>
  </si>
  <si>
    <t>n_Kfa_6190</t>
  </si>
  <si>
    <t>r_Qm_6190</t>
  </si>
  <si>
    <t>r_Q5_6190</t>
  </si>
  <si>
    <t>r_Q10_6190</t>
  </si>
  <si>
    <t>r_Q20_6190</t>
  </si>
  <si>
    <t>r_Q50_6190</t>
  </si>
  <si>
    <t>r_QC_6190</t>
  </si>
  <si>
    <t>r_QCC_6190</t>
  </si>
  <si>
    <t>r_QD_6190</t>
  </si>
  <si>
    <t>RFFA2018_Q</t>
  </si>
  <si>
    <t>r_kfi_6190</t>
  </si>
  <si>
    <t>r_kQm6190</t>
  </si>
  <si>
    <t>r_kQ56190</t>
  </si>
  <si>
    <t>r_kQ106190</t>
  </si>
  <si>
    <t>r_kQ206190</t>
  </si>
  <si>
    <t>r_kQ506190</t>
  </si>
  <si>
    <t>r_kQC6190</t>
  </si>
  <si>
    <t>r_kQCC6190</t>
  </si>
  <si>
    <t>r_kQD6190</t>
  </si>
  <si>
    <t>RFFA2018_1</t>
  </si>
  <si>
    <t>r_Kfa_6190</t>
  </si>
  <si>
    <t>r_Kuf_6190</t>
  </si>
  <si>
    <t>ln_Qm6190</t>
  </si>
  <si>
    <t>ln_Q56190</t>
  </si>
  <si>
    <t>ln_Q106190</t>
  </si>
  <si>
    <t>ln_Q206190</t>
  </si>
  <si>
    <t>ln_Q506190</t>
  </si>
  <si>
    <t>ln_QC6190</t>
  </si>
  <si>
    <t>ln_QCC6190</t>
  </si>
  <si>
    <t>ln_QD6190</t>
  </si>
  <si>
    <t>lokNIFS_Q1</t>
  </si>
  <si>
    <t>ln_kfi6190</t>
  </si>
  <si>
    <t>ln_kQm6190</t>
  </si>
  <si>
    <t>ln_kQ56190</t>
  </si>
  <si>
    <t>lnkQ106190</t>
  </si>
  <si>
    <t>lnkQ206190</t>
  </si>
  <si>
    <t>lnkQ506190</t>
  </si>
  <si>
    <t>lnkQC6190</t>
  </si>
  <si>
    <t>lnkQCC6190</t>
  </si>
  <si>
    <t>lnkQD6190</t>
  </si>
  <si>
    <t>lnkQM6190</t>
  </si>
  <si>
    <t>lr_Qm6190</t>
  </si>
  <si>
    <t>lr_Q56190</t>
  </si>
  <si>
    <t>lr_Q106190</t>
  </si>
  <si>
    <t>lr_Q206190</t>
  </si>
  <si>
    <t>lr_Q506190</t>
  </si>
  <si>
    <t>lr_QC6190</t>
  </si>
  <si>
    <t>lr_QCC6190</t>
  </si>
  <si>
    <t>lr_QD6190</t>
  </si>
  <si>
    <t>lokRFFA201</t>
  </si>
  <si>
    <t>lr_kfi6190</t>
  </si>
  <si>
    <t>lr_kQm6190</t>
  </si>
  <si>
    <t>lr_kQ56190</t>
  </si>
  <si>
    <t>lrkQ106190</t>
  </si>
  <si>
    <t>lrkQ206190</t>
  </si>
  <si>
    <t>lrkQ506190</t>
  </si>
  <si>
    <t>lrkQC6190</t>
  </si>
  <si>
    <t>lrkQCC6190</t>
  </si>
  <si>
    <t>lrkQD6190</t>
  </si>
  <si>
    <t>lrkQM6190</t>
  </si>
  <si>
    <t>QN9120_mmA</t>
  </si>
  <si>
    <t>QN9120_lsk</t>
  </si>
  <si>
    <t>usikkerhet</t>
  </si>
  <si>
    <t>u_QN9120_n</t>
  </si>
  <si>
    <t>u_QN9120_x</t>
  </si>
  <si>
    <t>endring_QN</t>
  </si>
  <si>
    <t>tmSom_9120</t>
  </si>
  <si>
    <t>tmVin_9120</t>
  </si>
  <si>
    <t>rrSom_9120</t>
  </si>
  <si>
    <t>rrVin_9120</t>
  </si>
  <si>
    <t>tmJul_9120</t>
  </si>
  <si>
    <t>tmAug_9120</t>
  </si>
  <si>
    <t>tmAar_9120</t>
  </si>
  <si>
    <t>rrAar_9120</t>
  </si>
  <si>
    <t>rrJun_9120</t>
  </si>
  <si>
    <t>rrJul_9120</t>
  </si>
  <si>
    <t>qtMai_9120</t>
  </si>
  <si>
    <t>qtJun_9120</t>
  </si>
  <si>
    <t>qtNov_9120</t>
  </si>
  <si>
    <t>qtMx4_9120</t>
  </si>
  <si>
    <t>tmFeb_9120</t>
  </si>
  <si>
    <t>tmMar_9120</t>
  </si>
  <si>
    <t>CLF_9120</t>
  </si>
  <si>
    <t>Q95_9120</t>
  </si>
  <si>
    <t>Q95Wi_9120</t>
  </si>
  <si>
    <t>Q95Su_9120</t>
  </si>
  <si>
    <t>BFI_9120</t>
  </si>
  <si>
    <t>QNmai_9120</t>
  </si>
  <si>
    <t>QNjun_9120</t>
  </si>
  <si>
    <t>QNjul_9120</t>
  </si>
  <si>
    <t>QNaug_9120</t>
  </si>
  <si>
    <t>QNsep_9120</t>
  </si>
  <si>
    <t>QNokt_9120</t>
  </si>
  <si>
    <t>QNnov_9120</t>
  </si>
  <si>
    <t>QNdes_9120</t>
  </si>
  <si>
    <t>Shape_STAr</t>
  </si>
  <si>
    <t>Shape_STLe</t>
  </si>
  <si>
    <t>07.mar</t>
  </si>
  <si>
    <t>20.jun</t>
  </si>
  <si>
    <t>0.41</t>
  </si>
  <si>
    <t>apr.86</t>
  </si>
  <si>
    <t>-6.56</t>
  </si>
  <si>
    <t>-2.84</t>
  </si>
  <si>
    <t>94.5</t>
  </si>
  <si>
    <t>98.7</t>
  </si>
  <si>
    <t>84.4</t>
  </si>
  <si>
    <t>1961-90</t>
  </si>
  <si>
    <t>1991-2020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</si>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</sst>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8"/>
      <color rgb="FFFFFFFF"/>
      <name val="Segoe UI"/>
      <family val="2"/>
    </font>
    <font>
      <sz val="18"/>
      <color rgb="FFFFFFFF"/>
      <name val="Segoe UI"/>
      <family val="2"/>
    </font>
    <font>
      <sz val="18"/>
      <color theme="1"/>
      <name val="Aptos Narrow"/>
      <family val="2"/>
      <scheme val="minor"/>
    </font>
    <font>
      <sz val="18"/>
      <color theme="1"/>
      <name val="Segoe UI"/>
      <family val="2"/>
    </font>
    <font>
      <sz val="11"/>
      <color rgb="FF000000"/>
      <name val="Calibri"/>
      <family val="2"/>
    </font>
    <font>
      <sz val="8"/>
      <color theme="4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E5C6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8" fillId="10" borderId="10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right" vertical="center"/>
    </xf>
    <xf numFmtId="0" fontId="10" fillId="0" borderId="0" xfId="0" applyFont="1"/>
    <xf numFmtId="0" fontId="8" fillId="10" borderId="10" xfId="0" applyFont="1" applyFill="1" applyBorder="1" applyAlignment="1">
      <alignment horizontal="left" vertical="center"/>
    </xf>
    <xf numFmtId="0" fontId="11" fillId="0" borderId="10" xfId="0" applyFont="1" applyBorder="1" applyAlignment="1">
      <alignment vertic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right"/>
    </xf>
    <xf numFmtId="0" fontId="4" fillId="11" borderId="1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right"/>
    </xf>
    <xf numFmtId="0" fontId="12" fillId="0" borderId="0" xfId="0" applyFont="1"/>
    <xf numFmtId="0" fontId="6" fillId="3" borderId="1" xfId="0" applyFont="1" applyFill="1" applyBorder="1" applyAlignment="1">
      <alignment horizontal="right"/>
    </xf>
    <xf numFmtId="0" fontId="5" fillId="13" borderId="1" xfId="0" applyFont="1" applyFill="1" applyBorder="1" applyAlignment="1">
      <alignment horizontal="right"/>
    </xf>
    <xf numFmtId="0" fontId="6" fillId="14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7" fillId="9" borderId="0" xfId="0" applyFont="1" applyFill="1" applyBorder="1"/>
    <xf numFmtId="0" fontId="1" fillId="0" borderId="2" xfId="0" applyFon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7" fillId="9" borderId="4" xfId="0" applyFont="1" applyFill="1" applyBorder="1"/>
    <xf numFmtId="0" fontId="7" fillId="9" borderId="5" xfId="0" applyFont="1" applyFill="1" applyBorder="1"/>
    <xf numFmtId="0" fontId="0" fillId="0" borderId="6" xfId="0" applyBorder="1"/>
    <xf numFmtId="0" fontId="2" fillId="2" borderId="6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right"/>
    </xf>
    <xf numFmtId="0" fontId="6" fillId="12" borderId="6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5" fillId="13" borderId="6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7" borderId="6" xfId="0" applyFont="1" applyFill="1" applyBorder="1" applyAlignment="1">
      <alignment horizontal="right"/>
    </xf>
    <xf numFmtId="0" fontId="3" fillId="8" borderId="6" xfId="0" applyFont="1" applyFill="1" applyBorder="1" applyAlignment="1">
      <alignment horizontal="right"/>
    </xf>
    <xf numFmtId="0" fontId="6" fillId="14" borderId="6" xfId="0" applyFont="1" applyFill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4" fillId="11" borderId="8" xfId="0" applyFont="1" applyFill="1" applyBorder="1" applyAlignment="1">
      <alignment horizontal="right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1F3F-4B33-41E1-8995-01939A4A90DD}">
  <dimension ref="A1:AD340"/>
  <sheetViews>
    <sheetView showGridLines="0" tabSelected="1" zoomScaleNormal="100" workbookViewId="0">
      <pane ySplit="15" topLeftCell="A16" activePane="bottomLeft" state="frozen"/>
      <selection pane="bottomLeft" activeCell="D1" sqref="D1:I15"/>
    </sheetView>
  </sheetViews>
  <sheetFormatPr defaultRowHeight="14.4" x14ac:dyDescent="0.3"/>
  <cols>
    <col min="1" max="1" width="8.88671875" style="5"/>
    <col min="2" max="2" width="24.6640625" customWidth="1"/>
    <col min="3" max="3" width="4.5546875" customWidth="1"/>
    <col min="4" max="4" width="33" customWidth="1"/>
    <col min="5" max="5" width="8.33203125" customWidth="1"/>
    <col min="6" max="6" width="12.109375" customWidth="1"/>
    <col min="7" max="7" width="10.6640625" customWidth="1"/>
    <col min="8" max="8" width="13.44140625" customWidth="1"/>
    <col min="9" max="9" width="15.6640625" customWidth="1"/>
    <col min="11" max="11" width="23.77734375" style="2" customWidth="1"/>
    <col min="12" max="12" width="41.5546875" style="2" customWidth="1"/>
  </cols>
  <sheetData>
    <row r="1" spans="1:30" x14ac:dyDescent="0.3">
      <c r="A1" s="36"/>
      <c r="B1" s="37"/>
      <c r="D1" s="37" t="s">
        <v>16</v>
      </c>
      <c r="E1" s="38"/>
      <c r="F1" s="37" t="s">
        <v>13</v>
      </c>
      <c r="G1" s="38" t="s">
        <v>375</v>
      </c>
      <c r="H1" s="37" t="s">
        <v>13</v>
      </c>
      <c r="I1" s="38" t="s">
        <v>376</v>
      </c>
      <c r="J1" s="33"/>
      <c r="L1" s="2">
        <v>1</v>
      </c>
    </row>
    <row r="2" spans="1:30" x14ac:dyDescent="0.3">
      <c r="A2" s="12" t="s">
        <v>377</v>
      </c>
      <c r="B2" s="39" t="s">
        <v>15</v>
      </c>
      <c r="D2" s="39" t="s">
        <v>15</v>
      </c>
      <c r="E2" s="3" t="s">
        <v>14</v>
      </c>
      <c r="F2" s="39" t="s">
        <v>15</v>
      </c>
      <c r="G2" s="3" t="s">
        <v>17</v>
      </c>
      <c r="H2" s="39" t="s">
        <v>15</v>
      </c>
      <c r="I2" s="3" t="s">
        <v>17</v>
      </c>
      <c r="J2" s="12"/>
      <c r="K2" s="2" t="s">
        <v>19</v>
      </c>
      <c r="L2" s="2">
        <v>1</v>
      </c>
    </row>
    <row r="3" spans="1:30" x14ac:dyDescent="0.3">
      <c r="A3" s="12">
        <v>1</v>
      </c>
      <c r="B3" s="40" t="s">
        <v>1</v>
      </c>
      <c r="D3" s="17" t="s">
        <v>1</v>
      </c>
      <c r="E3" s="3">
        <v>343</v>
      </c>
      <c r="F3" s="17" t="str">
        <f>K7</f>
        <v>areal_km2</v>
      </c>
      <c r="G3" s="3">
        <f>L7</f>
        <v>342.3</v>
      </c>
      <c r="H3" s="17" t="str">
        <f>F3</f>
        <v>areal_km2</v>
      </c>
      <c r="I3" s="3">
        <f>G3</f>
        <v>342.3</v>
      </c>
      <c r="J3" s="13"/>
      <c r="K3" s="2" t="s">
        <v>20</v>
      </c>
      <c r="L3" s="2" t="s">
        <v>68</v>
      </c>
    </row>
    <row r="4" spans="1:30" x14ac:dyDescent="0.3">
      <c r="A4" s="12">
        <v>2</v>
      </c>
      <c r="B4" s="41" t="s">
        <v>0</v>
      </c>
      <c r="D4" s="17" t="s">
        <v>0</v>
      </c>
      <c r="E4" s="3">
        <v>25.5</v>
      </c>
      <c r="F4" s="17" t="str">
        <f>K9</f>
        <v>QN6190_lsk</v>
      </c>
      <c r="G4" s="3">
        <f>L9</f>
        <v>25.5</v>
      </c>
      <c r="H4" s="53" t="str">
        <f>K188</f>
        <v>QN9120_lsk</v>
      </c>
      <c r="I4" s="54">
        <f>L188</f>
        <v>21.9</v>
      </c>
      <c r="J4" s="14"/>
      <c r="K4" s="2" t="s">
        <v>21</v>
      </c>
      <c r="L4" s="2" t="s">
        <v>69</v>
      </c>
      <c r="R4" s="28" t="s">
        <v>1</v>
      </c>
      <c r="S4" s="28" t="s">
        <v>0</v>
      </c>
      <c r="T4" s="28" t="s">
        <v>2</v>
      </c>
      <c r="U4" s="28" t="s">
        <v>3</v>
      </c>
      <c r="V4" s="28" t="s">
        <v>4</v>
      </c>
      <c r="W4" s="28" t="s">
        <v>5</v>
      </c>
      <c r="X4" s="28" t="s">
        <v>6</v>
      </c>
      <c r="Y4" s="28" t="s">
        <v>7</v>
      </c>
      <c r="Z4" s="28" t="s">
        <v>8</v>
      </c>
      <c r="AA4" s="28" t="s">
        <v>9</v>
      </c>
      <c r="AB4" s="28" t="s">
        <v>10</v>
      </c>
      <c r="AC4" s="28" t="s">
        <v>11</v>
      </c>
      <c r="AD4" s="28" t="s">
        <v>12</v>
      </c>
    </row>
    <row r="5" spans="1:30" x14ac:dyDescent="0.3">
      <c r="A5" s="12">
        <v>3</v>
      </c>
      <c r="B5" s="42" t="s">
        <v>2</v>
      </c>
      <c r="D5" s="17" t="s">
        <v>2</v>
      </c>
      <c r="E5" s="3">
        <v>0.14000000000000001</v>
      </c>
      <c r="F5" s="17" t="str">
        <f>K37</f>
        <v>effsjoPro</v>
      </c>
      <c r="G5" s="3">
        <f>L37</f>
        <v>0.1</v>
      </c>
      <c r="H5" s="17" t="str">
        <f>F5</f>
        <v>effsjoPro</v>
      </c>
      <c r="I5" s="3">
        <f>G5</f>
        <v>0.1</v>
      </c>
      <c r="J5" s="14"/>
      <c r="K5" s="2" t="s">
        <v>22</v>
      </c>
      <c r="L5" s="2" t="s">
        <v>70</v>
      </c>
      <c r="R5" s="28" t="s">
        <v>366</v>
      </c>
      <c r="S5" s="28" t="s">
        <v>367</v>
      </c>
      <c r="T5" s="28" t="s">
        <v>368</v>
      </c>
      <c r="U5" s="28" t="s">
        <v>369</v>
      </c>
      <c r="V5" s="28" t="s">
        <v>370</v>
      </c>
      <c r="W5" s="28" t="s">
        <v>371</v>
      </c>
      <c r="X5" s="28">
        <v>157</v>
      </c>
      <c r="Y5" s="28">
        <v>0</v>
      </c>
      <c r="Z5" s="28" t="s">
        <v>372</v>
      </c>
      <c r="AA5" s="28">
        <v>234</v>
      </c>
      <c r="AB5" s="28" t="s">
        <v>373</v>
      </c>
      <c r="AC5" s="28" t="s">
        <v>374</v>
      </c>
      <c r="AD5" s="28">
        <v>10</v>
      </c>
    </row>
    <row r="6" spans="1:30" x14ac:dyDescent="0.3">
      <c r="A6" s="12">
        <v>4</v>
      </c>
      <c r="B6" s="43" t="s">
        <v>3</v>
      </c>
      <c r="D6" s="17" t="s">
        <v>3</v>
      </c>
      <c r="E6" s="3">
        <v>47.7</v>
      </c>
      <c r="F6" s="17" t="str">
        <f>K40</f>
        <v>elveLengde</v>
      </c>
      <c r="G6" s="3">
        <f>L40</f>
        <v>47.7</v>
      </c>
      <c r="H6" s="17" t="str">
        <f>F6</f>
        <v>elveLengde</v>
      </c>
      <c r="I6" s="3">
        <f>G6</f>
        <v>47.7</v>
      </c>
      <c r="J6" s="14"/>
      <c r="K6" s="2" t="s">
        <v>23</v>
      </c>
      <c r="L6" s="2" t="s">
        <v>70</v>
      </c>
    </row>
    <row r="7" spans="1:30" x14ac:dyDescent="0.3">
      <c r="A7" s="12">
        <v>5</v>
      </c>
      <c r="B7" s="44" t="s">
        <v>4</v>
      </c>
      <c r="D7" s="17" t="s">
        <v>4</v>
      </c>
      <c r="E7" s="3">
        <v>-9.3000000000000007</v>
      </c>
      <c r="F7" s="17" t="str">
        <f>K62</f>
        <v>tmFeb_6190</v>
      </c>
      <c r="G7" s="3">
        <f>L62</f>
        <v>-9.3000000000000007</v>
      </c>
      <c r="H7" s="53" t="str">
        <f>K207</f>
        <v>tmFeb_9120</v>
      </c>
      <c r="I7" s="54">
        <f>L207</f>
        <v>-7.71</v>
      </c>
      <c r="J7" s="34"/>
      <c r="K7" s="19" t="s">
        <v>18</v>
      </c>
      <c r="L7" s="2">
        <v>342.3</v>
      </c>
    </row>
    <row r="8" spans="1:30" x14ac:dyDescent="0.3">
      <c r="A8" s="12">
        <v>6</v>
      </c>
      <c r="B8" s="45" t="s">
        <v>5</v>
      </c>
      <c r="D8" s="17" t="s">
        <v>5</v>
      </c>
      <c r="E8" s="3">
        <v>-7.24</v>
      </c>
      <c r="F8" s="17" t="str">
        <f>K63</f>
        <v>tmMar_6190</v>
      </c>
      <c r="G8" s="3">
        <f>L63</f>
        <v>-7.2</v>
      </c>
      <c r="H8" s="53" t="str">
        <f>K208</f>
        <v>tmMar_9120</v>
      </c>
      <c r="I8" s="54">
        <f>L208</f>
        <v>-5.74</v>
      </c>
      <c r="J8" s="15"/>
      <c r="K8" s="2" t="s">
        <v>24</v>
      </c>
      <c r="L8" s="2">
        <v>805.1</v>
      </c>
    </row>
    <row r="9" spans="1:30" x14ac:dyDescent="0.3">
      <c r="A9" s="12">
        <v>7</v>
      </c>
      <c r="B9" s="46" t="s">
        <v>6</v>
      </c>
      <c r="D9" s="17" t="s">
        <v>6</v>
      </c>
      <c r="E9" s="3">
        <v>281</v>
      </c>
      <c r="F9" s="17" t="str">
        <f>K58</f>
        <v>qtMai_6190</v>
      </c>
      <c r="G9" s="3">
        <f>L58</f>
        <v>281.39999999999998</v>
      </c>
      <c r="H9" s="53" t="str">
        <f>K203</f>
        <v>qtMai_9120</v>
      </c>
      <c r="I9" s="54">
        <f>L203</f>
        <v>351.72</v>
      </c>
      <c r="J9" s="34"/>
      <c r="K9" s="20" t="s">
        <v>25</v>
      </c>
      <c r="L9" s="2">
        <v>25.5</v>
      </c>
    </row>
    <row r="10" spans="1:30" x14ac:dyDescent="0.3">
      <c r="A10" s="12">
        <v>8</v>
      </c>
      <c r="B10" s="47" t="s">
        <v>7</v>
      </c>
      <c r="D10" s="17" t="s">
        <v>7</v>
      </c>
      <c r="E10" s="3">
        <v>0</v>
      </c>
      <c r="F10" s="17" t="str">
        <f>K22</f>
        <v>brePro</v>
      </c>
      <c r="G10" s="3">
        <f>L22</f>
        <v>0</v>
      </c>
      <c r="H10" s="17" t="str">
        <f>F10</f>
        <v>brePro</v>
      </c>
      <c r="I10" s="3">
        <f>G10</f>
        <v>0</v>
      </c>
      <c r="J10" s="13"/>
      <c r="K10" s="2" t="s">
        <v>26</v>
      </c>
      <c r="L10" s="2">
        <v>201</v>
      </c>
    </row>
    <row r="11" spans="1:30" x14ac:dyDescent="0.3">
      <c r="A11" s="12">
        <v>9</v>
      </c>
      <c r="B11" s="48" t="s">
        <v>8</v>
      </c>
      <c r="D11" s="17" t="s">
        <v>8</v>
      </c>
      <c r="E11" s="3">
        <v>21.3</v>
      </c>
      <c r="F11" s="17" t="str">
        <f>K23</f>
        <v>skoPro</v>
      </c>
      <c r="G11" s="3">
        <f>L23</f>
        <v>33.200000000000003</v>
      </c>
      <c r="H11" s="17" t="str">
        <f>F11</f>
        <v>skoPro</v>
      </c>
      <c r="I11" s="3">
        <f>G11</f>
        <v>33.200000000000003</v>
      </c>
      <c r="J11" s="35"/>
      <c r="K11" s="25" t="s">
        <v>27</v>
      </c>
      <c r="L11" s="2">
        <v>821</v>
      </c>
    </row>
    <row r="12" spans="1:30" x14ac:dyDescent="0.3">
      <c r="A12" s="12">
        <v>10</v>
      </c>
      <c r="B12" s="49" t="s">
        <v>9</v>
      </c>
      <c r="D12" s="17" t="s">
        <v>9</v>
      </c>
      <c r="E12" s="3">
        <v>771</v>
      </c>
      <c r="F12" s="17" t="str">
        <f>K11</f>
        <v>height10</v>
      </c>
      <c r="G12" s="3">
        <f>L11</f>
        <v>821</v>
      </c>
      <c r="H12" s="17" t="str">
        <f>F12</f>
        <v>height10</v>
      </c>
      <c r="I12" s="3">
        <f>G12</f>
        <v>821</v>
      </c>
      <c r="J12" s="13"/>
      <c r="K12" s="2" t="s">
        <v>28</v>
      </c>
      <c r="L12" s="2">
        <v>923</v>
      </c>
    </row>
    <row r="13" spans="1:30" x14ac:dyDescent="0.3">
      <c r="A13" s="12">
        <v>11</v>
      </c>
      <c r="B13" s="50" t="s">
        <v>10</v>
      </c>
      <c r="D13" s="17" t="s">
        <v>10</v>
      </c>
      <c r="E13" s="3">
        <v>84.6</v>
      </c>
      <c r="F13" s="17" t="str">
        <f>K57</f>
        <v>rrJul_6190</v>
      </c>
      <c r="G13" s="3">
        <f>L57</f>
        <v>84.6</v>
      </c>
      <c r="H13" s="53" t="str">
        <f>K202</f>
        <v>rrJul_9120</v>
      </c>
      <c r="I13" s="54">
        <f>L202</f>
        <v>100.15</v>
      </c>
      <c r="J13" s="15"/>
      <c r="K13" s="2" t="s">
        <v>29</v>
      </c>
      <c r="L13" s="2">
        <v>968</v>
      </c>
    </row>
    <row r="14" spans="1:30" x14ac:dyDescent="0.3">
      <c r="A14" s="12">
        <v>12</v>
      </c>
      <c r="B14" s="51" t="s">
        <v>11</v>
      </c>
      <c r="D14" s="17" t="s">
        <v>11</v>
      </c>
      <c r="E14" s="3">
        <v>138</v>
      </c>
      <c r="F14" s="17" t="str">
        <f>K59</f>
        <v>qtJun_6190</v>
      </c>
      <c r="G14" s="3">
        <f>L59</f>
        <v>138.19999999999999</v>
      </c>
      <c r="H14" s="53" t="str">
        <f>K204</f>
        <v>qtJun_9120</v>
      </c>
      <c r="I14" s="54">
        <f>L204</f>
        <v>172.69</v>
      </c>
      <c r="J14" s="15"/>
      <c r="K14" s="2" t="s">
        <v>30</v>
      </c>
      <c r="L14" s="2">
        <v>1081</v>
      </c>
    </row>
    <row r="15" spans="1:30" x14ac:dyDescent="0.3">
      <c r="A15" s="12">
        <v>13</v>
      </c>
      <c r="B15" s="52" t="s">
        <v>12</v>
      </c>
      <c r="D15" s="18" t="s">
        <v>12</v>
      </c>
      <c r="E15" s="4">
        <v>500</v>
      </c>
      <c r="F15" s="18" t="str">
        <f>K41</f>
        <v>sumElvLen</v>
      </c>
      <c r="G15" s="4">
        <f>L41</f>
        <v>532.9</v>
      </c>
      <c r="H15" s="18" t="str">
        <f>F15</f>
        <v>sumElvLen</v>
      </c>
      <c r="I15" s="4">
        <f>G15</f>
        <v>532.9</v>
      </c>
      <c r="J15" s="15"/>
      <c r="K15" s="2" t="s">
        <v>31</v>
      </c>
      <c r="L15" s="2">
        <v>1171</v>
      </c>
    </row>
    <row r="16" spans="1:30" x14ac:dyDescent="0.3">
      <c r="A16" s="6"/>
      <c r="B16" s="1"/>
      <c r="D16" s="1"/>
      <c r="E16" s="1"/>
      <c r="F16" s="1"/>
      <c r="G16" s="16"/>
      <c r="K16" s="2" t="s">
        <v>32</v>
      </c>
      <c r="L16" s="2">
        <v>1220</v>
      </c>
    </row>
    <row r="17" spans="6:12" x14ac:dyDescent="0.3">
      <c r="F17" s="1"/>
      <c r="G17" s="16"/>
      <c r="K17" s="2" t="s">
        <v>33</v>
      </c>
      <c r="L17" s="2">
        <v>1248</v>
      </c>
    </row>
    <row r="18" spans="6:12" x14ac:dyDescent="0.3">
      <c r="F18" s="1"/>
      <c r="K18" s="2" t="s">
        <v>34</v>
      </c>
      <c r="L18" s="2">
        <v>1282</v>
      </c>
    </row>
    <row r="19" spans="6:12" x14ac:dyDescent="0.3">
      <c r="F19" s="1"/>
      <c r="K19" s="2" t="s">
        <v>35</v>
      </c>
      <c r="L19" s="2">
        <v>1319</v>
      </c>
    </row>
    <row r="20" spans="6:12" x14ac:dyDescent="0.3">
      <c r="F20" s="1"/>
      <c r="K20" s="2" t="s">
        <v>36</v>
      </c>
      <c r="L20" s="2">
        <v>1482</v>
      </c>
    </row>
    <row r="21" spans="6:12" x14ac:dyDescent="0.3">
      <c r="F21" s="1"/>
      <c r="K21" s="2" t="s">
        <v>37</v>
      </c>
      <c r="L21" s="2">
        <v>4.4000000000000004</v>
      </c>
    </row>
    <row r="22" spans="6:12" x14ac:dyDescent="0.3">
      <c r="K22" s="23" t="s">
        <v>38</v>
      </c>
      <c r="L22" s="2">
        <v>0</v>
      </c>
    </row>
    <row r="23" spans="6:12" x14ac:dyDescent="0.3">
      <c r="K23" s="24" t="s">
        <v>39</v>
      </c>
      <c r="L23" s="2">
        <v>33.200000000000003</v>
      </c>
    </row>
    <row r="24" spans="6:12" x14ac:dyDescent="0.3">
      <c r="K24" s="2" t="s">
        <v>40</v>
      </c>
      <c r="L24" s="2">
        <v>0.9</v>
      </c>
    </row>
    <row r="25" spans="6:12" x14ac:dyDescent="0.3">
      <c r="K25" s="2" t="s">
        <v>41</v>
      </c>
      <c r="L25" s="2">
        <v>5.6</v>
      </c>
    </row>
    <row r="26" spans="6:12" x14ac:dyDescent="0.3">
      <c r="K26" s="2" t="s">
        <v>42</v>
      </c>
      <c r="L26" s="2">
        <v>53.8</v>
      </c>
    </row>
    <row r="27" spans="6:12" x14ac:dyDescent="0.3">
      <c r="K27" s="2" t="s">
        <v>43</v>
      </c>
      <c r="L27" s="2">
        <v>0</v>
      </c>
    </row>
    <row r="28" spans="6:12" x14ac:dyDescent="0.3">
      <c r="K28" s="2" t="s">
        <v>44</v>
      </c>
      <c r="L28" s="2">
        <v>2.1</v>
      </c>
    </row>
    <row r="29" spans="6:12" x14ac:dyDescent="0.3">
      <c r="K29" s="2" t="s">
        <v>45</v>
      </c>
      <c r="L29" s="2">
        <v>0</v>
      </c>
    </row>
    <row r="30" spans="6:12" x14ac:dyDescent="0.3">
      <c r="K30" s="2" t="s">
        <v>46</v>
      </c>
      <c r="L30" s="2">
        <v>0</v>
      </c>
    </row>
    <row r="31" spans="6:12" x14ac:dyDescent="0.3">
      <c r="K31" s="2" t="s">
        <v>47</v>
      </c>
      <c r="L31" s="2">
        <v>0</v>
      </c>
    </row>
    <row r="32" spans="6:12" x14ac:dyDescent="0.3">
      <c r="K32" s="2" t="s">
        <v>48</v>
      </c>
      <c r="L32" s="2">
        <v>0</v>
      </c>
    </row>
    <row r="33" spans="11:12" ht="18" customHeight="1" x14ac:dyDescent="0.3">
      <c r="K33" s="2" t="s">
        <v>49</v>
      </c>
      <c r="L33" s="2">
        <v>0</v>
      </c>
    </row>
    <row r="34" spans="11:12" x14ac:dyDescent="0.3">
      <c r="K34" s="2" t="s">
        <v>50</v>
      </c>
      <c r="L34" s="2">
        <v>0</v>
      </c>
    </row>
    <row r="35" spans="11:12" x14ac:dyDescent="0.3">
      <c r="K35" s="2" t="s">
        <v>51</v>
      </c>
      <c r="L35" s="2">
        <v>0</v>
      </c>
    </row>
    <row r="36" spans="11:12" x14ac:dyDescent="0.3">
      <c r="K36" s="2" t="s">
        <v>52</v>
      </c>
      <c r="L36" s="2">
        <v>0</v>
      </c>
    </row>
    <row r="37" spans="11:12" x14ac:dyDescent="0.3">
      <c r="K37" s="21" t="s">
        <v>53</v>
      </c>
      <c r="L37" s="2">
        <v>0.1</v>
      </c>
    </row>
    <row r="38" spans="11:12" x14ac:dyDescent="0.3">
      <c r="K38" s="2" t="s">
        <v>54</v>
      </c>
      <c r="L38" s="2">
        <v>-999</v>
      </c>
    </row>
    <row r="39" spans="11:12" x14ac:dyDescent="0.3">
      <c r="K39" s="2" t="s">
        <v>55</v>
      </c>
      <c r="L39" s="2">
        <v>34.700000000000003</v>
      </c>
    </row>
    <row r="40" spans="11:12" x14ac:dyDescent="0.3">
      <c r="K40" s="22" t="s">
        <v>56</v>
      </c>
      <c r="L40" s="2">
        <v>47.7</v>
      </c>
    </row>
    <row r="41" spans="11:12" x14ac:dyDescent="0.3">
      <c r="K41" s="26" t="s">
        <v>57</v>
      </c>
      <c r="L41" s="2">
        <v>532.9</v>
      </c>
    </row>
    <row r="42" spans="11:12" ht="18" customHeight="1" x14ac:dyDescent="0.3">
      <c r="K42" s="2" t="s">
        <v>58</v>
      </c>
      <c r="L42" s="2">
        <v>-999</v>
      </c>
    </row>
    <row r="43" spans="11:12" x14ac:dyDescent="0.3">
      <c r="K43" s="2" t="s">
        <v>59</v>
      </c>
      <c r="L43" s="2">
        <v>24.7</v>
      </c>
    </row>
    <row r="44" spans="11:12" x14ac:dyDescent="0.3">
      <c r="K44" s="2" t="s">
        <v>60</v>
      </c>
      <c r="L44" s="2">
        <v>24.1</v>
      </c>
    </row>
    <row r="45" spans="11:12" x14ac:dyDescent="0.3">
      <c r="K45" s="2" t="s">
        <v>61</v>
      </c>
      <c r="L45" s="2">
        <v>1.8</v>
      </c>
    </row>
    <row r="46" spans="11:12" x14ac:dyDescent="0.3">
      <c r="K46" s="2" t="s">
        <v>62</v>
      </c>
      <c r="L46" s="2">
        <v>9.4</v>
      </c>
    </row>
    <row r="47" spans="11:12" x14ac:dyDescent="0.3">
      <c r="K47" s="2" t="s">
        <v>63</v>
      </c>
      <c r="L47" s="2">
        <v>0</v>
      </c>
    </row>
    <row r="48" spans="11:12" x14ac:dyDescent="0.3">
      <c r="K48" s="2" t="s">
        <v>64</v>
      </c>
      <c r="L48" s="2">
        <v>5.7</v>
      </c>
    </row>
    <row r="49" spans="11:12" x14ac:dyDescent="0.3">
      <c r="K49" s="2" t="s">
        <v>65</v>
      </c>
      <c r="L49" s="2">
        <v>-5.5</v>
      </c>
    </row>
    <row r="50" spans="11:12" x14ac:dyDescent="0.3">
      <c r="K50" s="2" t="s">
        <v>66</v>
      </c>
      <c r="L50" s="2">
        <v>393.4</v>
      </c>
    </row>
    <row r="51" spans="11:12" x14ac:dyDescent="0.3">
      <c r="K51" s="2" t="s">
        <v>67</v>
      </c>
      <c r="L51" s="2">
        <v>357.4</v>
      </c>
    </row>
    <row r="52" spans="11:12" x14ac:dyDescent="0.3">
      <c r="K52" s="2" t="s">
        <v>189</v>
      </c>
      <c r="L52" s="2">
        <v>7.9</v>
      </c>
    </row>
    <row r="53" spans="11:12" x14ac:dyDescent="0.3">
      <c r="K53" s="2" t="s">
        <v>190</v>
      </c>
      <c r="L53" s="2">
        <v>8.6</v>
      </c>
    </row>
    <row r="54" spans="11:12" x14ac:dyDescent="0.3">
      <c r="K54" s="2" t="s">
        <v>191</v>
      </c>
      <c r="L54" s="2">
        <v>-0.9</v>
      </c>
    </row>
    <row r="55" spans="11:12" x14ac:dyDescent="0.3">
      <c r="K55" s="2" t="s">
        <v>192</v>
      </c>
      <c r="L55" s="2">
        <v>750.8</v>
      </c>
    </row>
    <row r="56" spans="11:12" x14ac:dyDescent="0.3">
      <c r="K56" s="2" t="s">
        <v>193</v>
      </c>
      <c r="L56" s="2">
        <v>69.8</v>
      </c>
    </row>
    <row r="57" spans="11:12" x14ac:dyDescent="0.3">
      <c r="K57" s="31" t="s">
        <v>194</v>
      </c>
      <c r="L57" s="2">
        <v>84.6</v>
      </c>
    </row>
    <row r="58" spans="11:12" x14ac:dyDescent="0.3">
      <c r="K58" s="30" t="s">
        <v>195</v>
      </c>
      <c r="L58" s="2">
        <v>281.39999999999998</v>
      </c>
    </row>
    <row r="59" spans="11:12" x14ac:dyDescent="0.3">
      <c r="K59" s="32" t="s">
        <v>196</v>
      </c>
      <c r="L59" s="2">
        <v>138.19999999999999</v>
      </c>
    </row>
    <row r="60" spans="11:12" x14ac:dyDescent="0.3">
      <c r="K60" s="2" t="s">
        <v>197</v>
      </c>
      <c r="L60" s="2">
        <v>12.7</v>
      </c>
    </row>
    <row r="61" spans="11:12" x14ac:dyDescent="0.3">
      <c r="K61" s="2" t="s">
        <v>198</v>
      </c>
      <c r="L61" s="2">
        <v>94.9</v>
      </c>
    </row>
    <row r="62" spans="11:12" x14ac:dyDescent="0.3">
      <c r="K62" s="27" t="s">
        <v>199</v>
      </c>
      <c r="L62" s="2">
        <v>-9.3000000000000007</v>
      </c>
    </row>
    <row r="63" spans="11:12" x14ac:dyDescent="0.3">
      <c r="K63" s="29" t="s">
        <v>200</v>
      </c>
      <c r="L63" s="2">
        <v>-7.2</v>
      </c>
    </row>
    <row r="64" spans="11:12" x14ac:dyDescent="0.3">
      <c r="K64" s="2" t="s">
        <v>201</v>
      </c>
      <c r="L64" s="2">
        <v>1.33</v>
      </c>
    </row>
    <row r="65" spans="11:12" x14ac:dyDescent="0.3">
      <c r="K65" s="2" t="s">
        <v>202</v>
      </c>
      <c r="L65" s="2">
        <v>1.32</v>
      </c>
    </row>
    <row r="66" spans="11:12" x14ac:dyDescent="0.3">
      <c r="K66" s="2" t="s">
        <v>203</v>
      </c>
      <c r="L66" s="2">
        <v>1.1599999999999999</v>
      </c>
    </row>
    <row r="67" spans="11:12" x14ac:dyDescent="0.3">
      <c r="K67" s="2" t="s">
        <v>204</v>
      </c>
      <c r="L67" s="2">
        <v>2.78</v>
      </c>
    </row>
    <row r="68" spans="11:12" x14ac:dyDescent="0.3">
      <c r="K68" s="2" t="s">
        <v>205</v>
      </c>
      <c r="L68" s="2">
        <v>0.46</v>
      </c>
    </row>
    <row r="69" spans="11:12" x14ac:dyDescent="0.3">
      <c r="K69" s="2" t="s">
        <v>206</v>
      </c>
      <c r="L69" s="2" t="s">
        <v>81</v>
      </c>
    </row>
    <row r="70" spans="11:12" x14ac:dyDescent="0.3">
      <c r="K70" s="2" t="s">
        <v>207</v>
      </c>
      <c r="L70" s="2">
        <v>0</v>
      </c>
    </row>
    <row r="71" spans="11:12" x14ac:dyDescent="0.3">
      <c r="K71" s="2" t="s">
        <v>208</v>
      </c>
      <c r="L71" s="2">
        <v>2026021114</v>
      </c>
    </row>
    <row r="72" spans="11:12" x14ac:dyDescent="0.3">
      <c r="K72" s="2" t="s">
        <v>209</v>
      </c>
      <c r="L72" s="2" t="s">
        <v>210</v>
      </c>
    </row>
    <row r="73" spans="11:12" x14ac:dyDescent="0.3">
      <c r="K73" s="2" t="s">
        <v>211</v>
      </c>
      <c r="L73" s="2" t="s">
        <v>81</v>
      </c>
    </row>
    <row r="74" spans="11:12" x14ac:dyDescent="0.3">
      <c r="K74" s="2" t="s">
        <v>212</v>
      </c>
      <c r="L74" s="2" t="s">
        <v>213</v>
      </c>
    </row>
    <row r="75" spans="11:12" x14ac:dyDescent="0.3">
      <c r="K75" s="2" t="s">
        <v>214</v>
      </c>
      <c r="L75" s="2">
        <v>1500</v>
      </c>
    </row>
    <row r="76" spans="11:12" x14ac:dyDescent="0.3">
      <c r="K76" s="2" t="s">
        <v>215</v>
      </c>
      <c r="L76" s="2">
        <v>61</v>
      </c>
    </row>
    <row r="77" spans="11:12" x14ac:dyDescent="0.3">
      <c r="K77" s="2" t="s">
        <v>216</v>
      </c>
      <c r="L77" s="2" t="s">
        <v>217</v>
      </c>
    </row>
    <row r="78" spans="11:12" x14ac:dyDescent="0.3">
      <c r="K78" s="2" t="s">
        <v>218</v>
      </c>
      <c r="L78" s="2">
        <v>4026</v>
      </c>
    </row>
    <row r="79" spans="11:12" x14ac:dyDescent="0.3">
      <c r="K79" s="2" t="s">
        <v>219</v>
      </c>
      <c r="L79" s="2" t="s">
        <v>220</v>
      </c>
    </row>
    <row r="80" spans="11:12" x14ac:dyDescent="0.3">
      <c r="K80" s="2" t="s">
        <v>221</v>
      </c>
      <c r="L80" s="2" t="s">
        <v>222</v>
      </c>
    </row>
    <row r="81" spans="11:12" x14ac:dyDescent="0.3">
      <c r="K81" s="2" t="s">
        <v>223</v>
      </c>
      <c r="L81" s="2">
        <v>156006</v>
      </c>
    </row>
    <row r="82" spans="11:12" x14ac:dyDescent="0.3">
      <c r="K82" s="2" t="s">
        <v>224</v>
      </c>
      <c r="L82" s="2">
        <v>6666955</v>
      </c>
    </row>
    <row r="83" spans="11:12" x14ac:dyDescent="0.3">
      <c r="K83" s="2" t="s">
        <v>225</v>
      </c>
      <c r="L83" s="2">
        <v>1</v>
      </c>
    </row>
    <row r="84" spans="11:12" x14ac:dyDescent="0.3">
      <c r="K84" s="2" t="s">
        <v>226</v>
      </c>
      <c r="L84" s="2" t="s">
        <v>81</v>
      </c>
    </row>
    <row r="85" spans="11:12" x14ac:dyDescent="0.3">
      <c r="K85" s="2" t="s">
        <v>227</v>
      </c>
      <c r="L85" s="2" t="s">
        <v>81</v>
      </c>
    </row>
    <row r="86" spans="11:12" x14ac:dyDescent="0.3">
      <c r="K86" s="2" t="s">
        <v>228</v>
      </c>
      <c r="L86" s="2">
        <v>0</v>
      </c>
    </row>
    <row r="87" spans="11:12" x14ac:dyDescent="0.3">
      <c r="K87" s="2" t="s">
        <v>229</v>
      </c>
      <c r="L87" s="2">
        <v>0</v>
      </c>
    </row>
    <row r="88" spans="11:12" x14ac:dyDescent="0.3">
      <c r="K88" s="2" t="s">
        <v>230</v>
      </c>
      <c r="L88" s="2">
        <v>0</v>
      </c>
    </row>
    <row r="89" spans="11:12" x14ac:dyDescent="0.3">
      <c r="K89" s="2" t="s">
        <v>231</v>
      </c>
      <c r="L89" s="2">
        <v>0</v>
      </c>
    </row>
    <row r="90" spans="11:12" x14ac:dyDescent="0.3">
      <c r="K90" s="2" t="s">
        <v>232</v>
      </c>
      <c r="L90" s="2">
        <v>0</v>
      </c>
    </row>
    <row r="91" spans="11:12" x14ac:dyDescent="0.3">
      <c r="K91" s="2" t="s">
        <v>233</v>
      </c>
      <c r="L91" s="2">
        <v>0</v>
      </c>
    </row>
    <row r="92" spans="11:12" x14ac:dyDescent="0.3">
      <c r="K92" s="2" t="s">
        <v>234</v>
      </c>
      <c r="L92" s="2">
        <v>0</v>
      </c>
    </row>
    <row r="93" spans="11:12" x14ac:dyDescent="0.3">
      <c r="K93" s="2" t="s">
        <v>235</v>
      </c>
      <c r="L93" s="2">
        <v>0</v>
      </c>
    </row>
    <row r="94" spans="11:12" x14ac:dyDescent="0.3">
      <c r="K94" s="2" t="s">
        <v>236</v>
      </c>
      <c r="L94" s="2">
        <v>0</v>
      </c>
    </row>
    <row r="95" spans="11:12" x14ac:dyDescent="0.3">
      <c r="K95" s="2" t="s">
        <v>237</v>
      </c>
      <c r="L95" s="2">
        <v>0</v>
      </c>
    </row>
    <row r="96" spans="11:12" x14ac:dyDescent="0.3">
      <c r="K96" s="2" t="s">
        <v>238</v>
      </c>
      <c r="L96" s="2">
        <v>0</v>
      </c>
    </row>
    <row r="97" spans="11:12" x14ac:dyDescent="0.3">
      <c r="K97" s="2" t="s">
        <v>239</v>
      </c>
      <c r="L97" s="2">
        <v>0</v>
      </c>
    </row>
    <row r="98" spans="11:12" x14ac:dyDescent="0.3">
      <c r="K98" s="2" t="s">
        <v>240</v>
      </c>
      <c r="L98" s="2">
        <v>0</v>
      </c>
    </row>
    <row r="99" spans="11:12" x14ac:dyDescent="0.3">
      <c r="K99" s="2" t="s">
        <v>241</v>
      </c>
      <c r="L99" s="2">
        <v>0</v>
      </c>
    </row>
    <row r="100" spans="11:12" x14ac:dyDescent="0.3">
      <c r="K100" s="2" t="s">
        <v>242</v>
      </c>
      <c r="L100" s="2">
        <v>0</v>
      </c>
    </row>
    <row r="101" spans="11:12" x14ac:dyDescent="0.3">
      <c r="K101" s="2" t="s">
        <v>243</v>
      </c>
      <c r="L101" s="2">
        <v>0</v>
      </c>
    </row>
    <row r="102" spans="11:12" x14ac:dyDescent="0.3">
      <c r="K102" s="2" t="s">
        <v>244</v>
      </c>
      <c r="L102" s="2">
        <v>0</v>
      </c>
    </row>
    <row r="103" spans="11:12" x14ac:dyDescent="0.3">
      <c r="K103" s="2" t="s">
        <v>245</v>
      </c>
      <c r="L103" s="2">
        <v>0</v>
      </c>
    </row>
    <row r="104" spans="11:12" x14ac:dyDescent="0.3">
      <c r="K104" s="2" t="s">
        <v>246</v>
      </c>
      <c r="L104" s="2">
        <v>0</v>
      </c>
    </row>
    <row r="105" spans="11:12" x14ac:dyDescent="0.3">
      <c r="K105" s="2" t="s">
        <v>247</v>
      </c>
      <c r="L105" s="2">
        <v>0</v>
      </c>
    </row>
    <row r="106" spans="11:12" x14ac:dyDescent="0.3">
      <c r="K106" s="2" t="s">
        <v>248</v>
      </c>
      <c r="L106" s="2">
        <v>0</v>
      </c>
    </row>
    <row r="107" spans="11:12" x14ac:dyDescent="0.3">
      <c r="K107" s="2" t="s">
        <v>249</v>
      </c>
      <c r="L107" s="2">
        <v>0</v>
      </c>
    </row>
    <row r="108" spans="11:12" x14ac:dyDescent="0.3">
      <c r="K108" s="2" t="s">
        <v>250</v>
      </c>
      <c r="L108" s="2">
        <v>113.96</v>
      </c>
    </row>
    <row r="109" spans="11:12" x14ac:dyDescent="0.3">
      <c r="K109" s="2" t="s">
        <v>251</v>
      </c>
      <c r="L109" s="2">
        <v>142.28</v>
      </c>
    </row>
    <row r="110" spans="11:12" x14ac:dyDescent="0.3">
      <c r="K110" s="2" t="s">
        <v>252</v>
      </c>
      <c r="L110" s="2">
        <v>168.15</v>
      </c>
    </row>
    <row r="111" spans="11:12" x14ac:dyDescent="0.3">
      <c r="K111" s="2" t="s">
        <v>253</v>
      </c>
      <c r="L111" s="2">
        <v>195.87</v>
      </c>
    </row>
    <row r="112" spans="11:12" x14ac:dyDescent="0.3">
      <c r="K112" s="2" t="s">
        <v>254</v>
      </c>
      <c r="L112" s="2">
        <v>237.3</v>
      </c>
    </row>
    <row r="113" spans="11:12" x14ac:dyDescent="0.3">
      <c r="K113" s="2" t="s">
        <v>255</v>
      </c>
      <c r="L113" s="2">
        <v>273.38</v>
      </c>
    </row>
    <row r="114" spans="11:12" x14ac:dyDescent="0.3">
      <c r="K114" s="2" t="s">
        <v>256</v>
      </c>
      <c r="L114" s="2">
        <v>314.39999999999998</v>
      </c>
    </row>
    <row r="115" spans="11:12" x14ac:dyDescent="0.3">
      <c r="K115" s="2" t="s">
        <v>257</v>
      </c>
      <c r="L115" s="2">
        <v>377.61</v>
      </c>
    </row>
    <row r="116" spans="11:12" x14ac:dyDescent="0.3">
      <c r="K116" s="2" t="s">
        <v>258</v>
      </c>
      <c r="L116" s="2">
        <v>433.38</v>
      </c>
    </row>
    <row r="117" spans="11:12" x14ac:dyDescent="0.3">
      <c r="K117" s="2" t="s">
        <v>259</v>
      </c>
      <c r="L117" s="2" t="s">
        <v>81</v>
      </c>
    </row>
    <row r="118" spans="11:12" x14ac:dyDescent="0.3">
      <c r="K118" s="2" t="s">
        <v>260</v>
      </c>
      <c r="L118" s="2">
        <v>1.77</v>
      </c>
    </row>
    <row r="119" spans="11:12" x14ac:dyDescent="0.3">
      <c r="K119" s="2" t="s">
        <v>261</v>
      </c>
      <c r="L119" s="2">
        <v>1.81</v>
      </c>
    </row>
    <row r="120" spans="11:12" x14ac:dyDescent="0.3">
      <c r="K120" s="2" t="s">
        <v>262</v>
      </c>
      <c r="L120" s="2">
        <v>1.85</v>
      </c>
    </row>
    <row r="121" spans="11:12" x14ac:dyDescent="0.3">
      <c r="K121" s="2" t="s">
        <v>263</v>
      </c>
      <c r="L121" s="2">
        <v>1.89</v>
      </c>
    </row>
    <row r="122" spans="11:12" x14ac:dyDescent="0.3">
      <c r="K122" s="2" t="s">
        <v>264</v>
      </c>
      <c r="L122" s="2">
        <v>1.95</v>
      </c>
    </row>
    <row r="123" spans="11:12" x14ac:dyDescent="0.3">
      <c r="K123" s="2" t="s">
        <v>265</v>
      </c>
      <c r="L123" s="2">
        <v>2</v>
      </c>
    </row>
    <row r="124" spans="11:12" x14ac:dyDescent="0.3">
      <c r="K124" s="2" t="s">
        <v>266</v>
      </c>
      <c r="L124" s="2">
        <v>2</v>
      </c>
    </row>
    <row r="125" spans="11:12" x14ac:dyDescent="0.3">
      <c r="K125" s="2" t="s">
        <v>267</v>
      </c>
      <c r="L125" s="2">
        <v>2</v>
      </c>
    </row>
    <row r="126" spans="11:12" x14ac:dyDescent="0.3">
      <c r="K126" s="2" t="s">
        <v>268</v>
      </c>
      <c r="L126" s="2">
        <v>2</v>
      </c>
    </row>
    <row r="127" spans="11:12" x14ac:dyDescent="0.3">
      <c r="K127" s="2" t="s">
        <v>269</v>
      </c>
      <c r="L127" s="2">
        <v>1.4</v>
      </c>
    </row>
    <row r="128" spans="11:12" x14ac:dyDescent="0.3">
      <c r="K128" s="2" t="s">
        <v>270</v>
      </c>
      <c r="L128" s="2">
        <v>82.06</v>
      </c>
    </row>
    <row r="129" spans="11:12" x14ac:dyDescent="0.3">
      <c r="K129" s="2" t="s">
        <v>271</v>
      </c>
      <c r="L129" s="2">
        <v>109.52</v>
      </c>
    </row>
    <row r="130" spans="11:12" x14ac:dyDescent="0.3">
      <c r="K130" s="2" t="s">
        <v>272</v>
      </c>
      <c r="L130" s="2">
        <v>128.03</v>
      </c>
    </row>
    <row r="131" spans="11:12" x14ac:dyDescent="0.3">
      <c r="K131" s="2" t="s">
        <v>273</v>
      </c>
      <c r="L131" s="2">
        <v>146.05000000000001</v>
      </c>
    </row>
    <row r="132" spans="11:12" x14ac:dyDescent="0.3">
      <c r="K132" s="2" t="s">
        <v>274</v>
      </c>
      <c r="L132" s="2">
        <v>169.75</v>
      </c>
    </row>
    <row r="133" spans="11:12" x14ac:dyDescent="0.3">
      <c r="K133" s="2" t="s">
        <v>275</v>
      </c>
      <c r="L133" s="2">
        <v>187.8</v>
      </c>
    </row>
    <row r="134" spans="11:12" x14ac:dyDescent="0.3">
      <c r="K134" s="2" t="s">
        <v>276</v>
      </c>
      <c r="L134" s="2">
        <v>206.02</v>
      </c>
    </row>
    <row r="135" spans="11:12" x14ac:dyDescent="0.3">
      <c r="K135" s="2" t="s">
        <v>277</v>
      </c>
      <c r="L135" s="2">
        <v>230.46</v>
      </c>
    </row>
    <row r="136" spans="11:12" x14ac:dyDescent="0.3">
      <c r="K136" s="2" t="s">
        <v>278</v>
      </c>
      <c r="L136" s="2">
        <v>249.22</v>
      </c>
    </row>
    <row r="137" spans="11:12" x14ac:dyDescent="0.3">
      <c r="K137" s="2" t="s">
        <v>279</v>
      </c>
      <c r="L137" s="2" t="s">
        <v>81</v>
      </c>
    </row>
    <row r="138" spans="11:12" x14ac:dyDescent="0.3">
      <c r="K138" s="2" t="s">
        <v>280</v>
      </c>
      <c r="L138" s="2">
        <v>1.72</v>
      </c>
    </row>
    <row r="139" spans="11:12" x14ac:dyDescent="0.3">
      <c r="K139" s="2" t="s">
        <v>281</v>
      </c>
      <c r="L139" s="2">
        <v>1.74</v>
      </c>
    </row>
    <row r="140" spans="11:12" x14ac:dyDescent="0.3">
      <c r="K140" s="2" t="s">
        <v>282</v>
      </c>
      <c r="L140" s="2">
        <v>1.76</v>
      </c>
    </row>
    <row r="141" spans="11:12" x14ac:dyDescent="0.3">
      <c r="K141" s="2" t="s">
        <v>283</v>
      </c>
      <c r="L141" s="2">
        <v>1.78</v>
      </c>
    </row>
    <row r="142" spans="11:12" x14ac:dyDescent="0.3">
      <c r="K142" s="2" t="s">
        <v>284</v>
      </c>
      <c r="L142" s="2">
        <v>1.8</v>
      </c>
    </row>
    <row r="143" spans="11:12" x14ac:dyDescent="0.3">
      <c r="K143" s="2" t="s">
        <v>285</v>
      </c>
      <c r="L143" s="2">
        <v>1.81</v>
      </c>
    </row>
    <row r="144" spans="11:12" x14ac:dyDescent="0.3">
      <c r="K144" s="2" t="s">
        <v>286</v>
      </c>
      <c r="L144" s="2">
        <v>1.82</v>
      </c>
    </row>
    <row r="145" spans="11:12" x14ac:dyDescent="0.3">
      <c r="K145" s="2" t="s">
        <v>287</v>
      </c>
      <c r="L145" s="2">
        <v>1.84</v>
      </c>
    </row>
    <row r="146" spans="11:12" x14ac:dyDescent="0.3">
      <c r="K146" s="2" t="s">
        <v>288</v>
      </c>
      <c r="L146" s="2">
        <v>1.87</v>
      </c>
    </row>
    <row r="147" spans="11:12" x14ac:dyDescent="0.3">
      <c r="K147" s="2" t="s">
        <v>289</v>
      </c>
      <c r="L147" s="2">
        <v>1</v>
      </c>
    </row>
    <row r="148" spans="11:12" x14ac:dyDescent="0.3">
      <c r="K148" s="2" t="s">
        <v>290</v>
      </c>
      <c r="L148" s="2">
        <v>1.18</v>
      </c>
    </row>
    <row r="149" spans="11:12" x14ac:dyDescent="0.3">
      <c r="K149" s="2" t="s">
        <v>291</v>
      </c>
      <c r="L149" s="2">
        <v>114.01</v>
      </c>
    </row>
    <row r="150" spans="11:12" x14ac:dyDescent="0.3">
      <c r="K150" s="2" t="s">
        <v>292</v>
      </c>
      <c r="L150" s="2">
        <v>142.34</v>
      </c>
    </row>
    <row r="151" spans="11:12" x14ac:dyDescent="0.3">
      <c r="K151" s="2" t="s">
        <v>293</v>
      </c>
      <c r="L151" s="2">
        <v>168.22</v>
      </c>
    </row>
    <row r="152" spans="11:12" x14ac:dyDescent="0.3">
      <c r="K152" s="2" t="s">
        <v>294</v>
      </c>
      <c r="L152" s="2">
        <v>195.95</v>
      </c>
    </row>
    <row r="153" spans="11:12" x14ac:dyDescent="0.3">
      <c r="K153" s="2" t="s">
        <v>295</v>
      </c>
      <c r="L153" s="2">
        <v>237.4</v>
      </c>
    </row>
    <row r="154" spans="11:12" x14ac:dyDescent="0.3">
      <c r="K154" s="2" t="s">
        <v>296</v>
      </c>
      <c r="L154" s="2">
        <v>273.49</v>
      </c>
    </row>
    <row r="155" spans="11:12" x14ac:dyDescent="0.3">
      <c r="K155" s="2" t="s">
        <v>297</v>
      </c>
      <c r="L155" s="2">
        <v>314.52999999999997</v>
      </c>
    </row>
    <row r="156" spans="11:12" x14ac:dyDescent="0.3">
      <c r="K156" s="2" t="s">
        <v>298</v>
      </c>
      <c r="L156" s="2">
        <v>377.76</v>
      </c>
    </row>
    <row r="157" spans="11:12" x14ac:dyDescent="0.3">
      <c r="K157" s="2" t="s">
        <v>299</v>
      </c>
      <c r="L157" s="2">
        <v>433.56</v>
      </c>
    </row>
    <row r="158" spans="11:12" x14ac:dyDescent="0.3">
      <c r="K158" s="2" t="s">
        <v>300</v>
      </c>
      <c r="L158" s="2" t="s">
        <v>81</v>
      </c>
    </row>
    <row r="159" spans="11:12" x14ac:dyDescent="0.3">
      <c r="K159" s="2" t="s">
        <v>301</v>
      </c>
      <c r="L159" s="2">
        <v>2.0499999999999998</v>
      </c>
    </row>
    <row r="160" spans="11:12" x14ac:dyDescent="0.3">
      <c r="K160" s="2" t="s">
        <v>302</v>
      </c>
      <c r="L160" s="2">
        <v>2.0499999999999998</v>
      </c>
    </row>
    <row r="161" spans="11:12" x14ac:dyDescent="0.3">
      <c r="K161" s="2" t="s">
        <v>303</v>
      </c>
      <c r="L161" s="2">
        <v>2.0499999999999998</v>
      </c>
    </row>
    <row r="162" spans="11:12" x14ac:dyDescent="0.3">
      <c r="K162" s="2" t="s">
        <v>304</v>
      </c>
      <c r="L162" s="2">
        <v>2.0499999999999998</v>
      </c>
    </row>
    <row r="163" spans="11:12" x14ac:dyDescent="0.3">
      <c r="K163" s="2" t="s">
        <v>305</v>
      </c>
      <c r="L163" s="2">
        <v>2.0499999999999998</v>
      </c>
    </row>
    <row r="164" spans="11:12" x14ac:dyDescent="0.3">
      <c r="K164" s="2" t="s">
        <v>306</v>
      </c>
      <c r="L164" s="2">
        <v>2.0499999999999998</v>
      </c>
    </row>
    <row r="165" spans="11:12" x14ac:dyDescent="0.3">
      <c r="K165" s="2" t="s">
        <v>307</v>
      </c>
      <c r="L165" s="2">
        <v>2.0499999999999998</v>
      </c>
    </row>
    <row r="166" spans="11:12" x14ac:dyDescent="0.3">
      <c r="K166" s="2" t="s">
        <v>308</v>
      </c>
      <c r="L166" s="2">
        <v>2.0499999999999998</v>
      </c>
    </row>
    <row r="167" spans="11:12" x14ac:dyDescent="0.3">
      <c r="K167" s="2" t="s">
        <v>309</v>
      </c>
      <c r="L167" s="2">
        <v>2.0499999999999998</v>
      </c>
    </row>
    <row r="168" spans="11:12" x14ac:dyDescent="0.3">
      <c r="K168" s="2" t="s">
        <v>310</v>
      </c>
      <c r="L168" s="2">
        <v>0</v>
      </c>
    </row>
    <row r="169" spans="11:12" x14ac:dyDescent="0.3">
      <c r="K169" s="2" t="s">
        <v>311</v>
      </c>
      <c r="L169" s="2">
        <v>0</v>
      </c>
    </row>
    <row r="170" spans="11:12" x14ac:dyDescent="0.3">
      <c r="K170" s="2" t="s">
        <v>312</v>
      </c>
      <c r="L170" s="2">
        <v>0</v>
      </c>
    </row>
    <row r="171" spans="11:12" x14ac:dyDescent="0.3">
      <c r="K171" s="2" t="s">
        <v>313</v>
      </c>
      <c r="L171" s="2">
        <v>0</v>
      </c>
    </row>
    <row r="172" spans="11:12" x14ac:dyDescent="0.3">
      <c r="K172" s="2" t="s">
        <v>314</v>
      </c>
      <c r="L172" s="2">
        <v>0</v>
      </c>
    </row>
    <row r="173" spans="11:12" x14ac:dyDescent="0.3">
      <c r="K173" s="2" t="s">
        <v>315</v>
      </c>
      <c r="L173" s="2">
        <v>0</v>
      </c>
    </row>
    <row r="174" spans="11:12" x14ac:dyDescent="0.3">
      <c r="K174" s="2" t="s">
        <v>316</v>
      </c>
      <c r="L174" s="2">
        <v>0</v>
      </c>
    </row>
    <row r="175" spans="11:12" x14ac:dyDescent="0.3">
      <c r="K175" s="2" t="s">
        <v>317</v>
      </c>
      <c r="L175" s="2">
        <v>0</v>
      </c>
    </row>
    <row r="176" spans="11:12" x14ac:dyDescent="0.3">
      <c r="K176" s="2" t="s">
        <v>318</v>
      </c>
      <c r="L176" s="2">
        <v>0</v>
      </c>
    </row>
    <row r="177" spans="11:12" x14ac:dyDescent="0.3">
      <c r="K177" s="2" t="s">
        <v>319</v>
      </c>
      <c r="L177" s="2" t="s">
        <v>81</v>
      </c>
    </row>
    <row r="178" spans="11:12" x14ac:dyDescent="0.3">
      <c r="K178" s="2" t="s">
        <v>320</v>
      </c>
      <c r="L178" s="2">
        <v>-999</v>
      </c>
    </row>
    <row r="179" spans="11:12" x14ac:dyDescent="0.3">
      <c r="K179" s="2" t="s">
        <v>321</v>
      </c>
      <c r="L179" s="2">
        <v>-999</v>
      </c>
    </row>
    <row r="180" spans="11:12" x14ac:dyDescent="0.3">
      <c r="K180" s="2" t="s">
        <v>322</v>
      </c>
      <c r="L180" s="2">
        <v>-999</v>
      </c>
    </row>
    <row r="181" spans="11:12" x14ac:dyDescent="0.3">
      <c r="K181" s="2" t="s">
        <v>323</v>
      </c>
      <c r="L181" s="2">
        <v>-999</v>
      </c>
    </row>
    <row r="182" spans="11:12" x14ac:dyDescent="0.3">
      <c r="K182" s="2" t="s">
        <v>324</v>
      </c>
      <c r="L182" s="2">
        <v>-999</v>
      </c>
    </row>
    <row r="183" spans="11:12" x14ac:dyDescent="0.3">
      <c r="K183" s="2" t="s">
        <v>325</v>
      </c>
      <c r="L183" s="2">
        <v>-999</v>
      </c>
    </row>
    <row r="184" spans="11:12" x14ac:dyDescent="0.3">
      <c r="K184" s="2" t="s">
        <v>326</v>
      </c>
      <c r="L184" s="2">
        <v>-999</v>
      </c>
    </row>
    <row r="185" spans="11:12" x14ac:dyDescent="0.3">
      <c r="K185" s="2" t="s">
        <v>327</v>
      </c>
      <c r="L185" s="2">
        <v>-999</v>
      </c>
    </row>
    <row r="186" spans="11:12" x14ac:dyDescent="0.3">
      <c r="K186" s="2" t="s">
        <v>328</v>
      </c>
      <c r="L186" s="2">
        <v>-999</v>
      </c>
    </row>
    <row r="187" spans="11:12" x14ac:dyDescent="0.3">
      <c r="K187" s="2" t="s">
        <v>329</v>
      </c>
      <c r="L187" s="2">
        <v>690.1</v>
      </c>
    </row>
    <row r="188" spans="11:12" x14ac:dyDescent="0.3">
      <c r="K188" s="20" t="s">
        <v>330</v>
      </c>
      <c r="L188" s="2">
        <v>21.9</v>
      </c>
    </row>
    <row r="189" spans="11:12" x14ac:dyDescent="0.3">
      <c r="K189" s="2" t="s">
        <v>331</v>
      </c>
      <c r="L189" s="2">
        <v>4.9000000000000004</v>
      </c>
    </row>
    <row r="190" spans="11:12" x14ac:dyDescent="0.3">
      <c r="K190" s="2" t="s">
        <v>332</v>
      </c>
      <c r="L190" s="2">
        <v>20.8</v>
      </c>
    </row>
    <row r="191" spans="11:12" x14ac:dyDescent="0.3">
      <c r="K191" s="2" t="s">
        <v>333</v>
      </c>
      <c r="L191" s="2">
        <v>22.9</v>
      </c>
    </row>
    <row r="192" spans="11:12" x14ac:dyDescent="0.3">
      <c r="K192" s="2" t="s">
        <v>334</v>
      </c>
      <c r="L192" s="2">
        <v>12.42</v>
      </c>
    </row>
    <row r="193" spans="11:12" x14ac:dyDescent="0.3">
      <c r="K193" s="2" t="s">
        <v>335</v>
      </c>
      <c r="L193" s="2">
        <v>8.39</v>
      </c>
    </row>
    <row r="194" spans="11:12" x14ac:dyDescent="0.3">
      <c r="K194" s="2" t="s">
        <v>336</v>
      </c>
      <c r="L194" s="2">
        <v>-7.43</v>
      </c>
    </row>
    <row r="195" spans="11:12" x14ac:dyDescent="0.3">
      <c r="K195" s="2" t="s">
        <v>337</v>
      </c>
      <c r="L195" s="2">
        <v>302.85000000000002</v>
      </c>
    </row>
    <row r="196" spans="11:12" x14ac:dyDescent="0.3">
      <c r="K196" s="2" t="s">
        <v>338</v>
      </c>
      <c r="L196" s="2">
        <v>213.73</v>
      </c>
    </row>
    <row r="197" spans="11:12" x14ac:dyDescent="0.3">
      <c r="K197" s="2" t="s">
        <v>339</v>
      </c>
      <c r="L197" s="2">
        <v>9.69</v>
      </c>
    </row>
    <row r="198" spans="11:12" x14ac:dyDescent="0.3">
      <c r="K198" s="2" t="s">
        <v>340</v>
      </c>
      <c r="L198" s="2">
        <v>8.4</v>
      </c>
    </row>
    <row r="199" spans="11:12" x14ac:dyDescent="0.3">
      <c r="K199" s="2" t="s">
        <v>341</v>
      </c>
      <c r="L199" s="2">
        <v>-0.84</v>
      </c>
    </row>
    <row r="200" spans="11:12" x14ac:dyDescent="0.3">
      <c r="K200" s="2" t="s">
        <v>342</v>
      </c>
      <c r="L200" s="2">
        <v>950.84</v>
      </c>
    </row>
    <row r="201" spans="11:12" x14ac:dyDescent="0.3">
      <c r="K201" s="2" t="s">
        <v>343</v>
      </c>
      <c r="L201" s="2">
        <v>92.12</v>
      </c>
    </row>
    <row r="202" spans="11:12" x14ac:dyDescent="0.3">
      <c r="K202" s="31" t="s">
        <v>344</v>
      </c>
      <c r="L202" s="2">
        <v>100.15</v>
      </c>
    </row>
    <row r="203" spans="11:12" x14ac:dyDescent="0.3">
      <c r="K203" s="30" t="s">
        <v>345</v>
      </c>
      <c r="L203" s="2">
        <v>351.72</v>
      </c>
    </row>
    <row r="204" spans="11:12" x14ac:dyDescent="0.3">
      <c r="K204" s="32" t="s">
        <v>346</v>
      </c>
      <c r="L204" s="2">
        <v>172.69</v>
      </c>
    </row>
    <row r="205" spans="11:12" x14ac:dyDescent="0.3">
      <c r="K205" s="2" t="s">
        <v>347</v>
      </c>
      <c r="L205" s="2">
        <v>15.92</v>
      </c>
    </row>
    <row r="206" spans="11:12" x14ac:dyDescent="0.3">
      <c r="K206" s="2" t="s">
        <v>348</v>
      </c>
      <c r="L206" s="2">
        <v>94.07</v>
      </c>
    </row>
    <row r="207" spans="11:12" x14ac:dyDescent="0.3">
      <c r="K207" s="27" t="s">
        <v>349</v>
      </c>
      <c r="L207" s="2">
        <v>-7.71</v>
      </c>
    </row>
    <row r="208" spans="11:12" x14ac:dyDescent="0.3">
      <c r="K208" s="29" t="s">
        <v>350</v>
      </c>
      <c r="L208" s="2">
        <v>-5.74</v>
      </c>
    </row>
    <row r="209" spans="11:12" x14ac:dyDescent="0.3">
      <c r="K209" s="2" t="s">
        <v>351</v>
      </c>
      <c r="L209" s="2">
        <v>1.33</v>
      </c>
    </row>
    <row r="210" spans="11:12" x14ac:dyDescent="0.3">
      <c r="K210" s="2" t="s">
        <v>352</v>
      </c>
      <c r="L210" s="2">
        <v>1.32</v>
      </c>
    </row>
    <row r="211" spans="11:12" x14ac:dyDescent="0.3">
      <c r="K211" s="2" t="s">
        <v>353</v>
      </c>
      <c r="L211" s="2">
        <v>1.1599999999999999</v>
      </c>
    </row>
    <row r="212" spans="11:12" x14ac:dyDescent="0.3">
      <c r="K212" s="2" t="s">
        <v>354</v>
      </c>
      <c r="L212" s="2">
        <v>2.78</v>
      </c>
    </row>
    <row r="213" spans="11:12" x14ac:dyDescent="0.3">
      <c r="K213" s="2" t="s">
        <v>355</v>
      </c>
      <c r="L213" s="2">
        <v>0.46</v>
      </c>
    </row>
    <row r="214" spans="11:12" x14ac:dyDescent="0.3">
      <c r="K214" s="2" t="s">
        <v>71</v>
      </c>
      <c r="L214" s="2">
        <v>99.75</v>
      </c>
    </row>
    <row r="215" spans="11:12" x14ac:dyDescent="0.3">
      <c r="K215" s="2" t="s">
        <v>72</v>
      </c>
      <c r="L215" s="2">
        <v>125.07</v>
      </c>
    </row>
    <row r="216" spans="11:12" x14ac:dyDescent="0.3">
      <c r="K216" s="2" t="s">
        <v>73</v>
      </c>
      <c r="L216" s="2">
        <v>148.19</v>
      </c>
    </row>
    <row r="217" spans="11:12" x14ac:dyDescent="0.3">
      <c r="K217" s="2" t="s">
        <v>74</v>
      </c>
      <c r="L217" s="2">
        <v>172.97</v>
      </c>
    </row>
    <row r="218" spans="11:12" x14ac:dyDescent="0.3">
      <c r="K218" s="2" t="s">
        <v>75</v>
      </c>
      <c r="L218" s="2">
        <v>210.02</v>
      </c>
    </row>
    <row r="219" spans="11:12" x14ac:dyDescent="0.3">
      <c r="K219" s="2" t="s">
        <v>76</v>
      </c>
      <c r="L219" s="2">
        <v>242.27</v>
      </c>
    </row>
    <row r="220" spans="11:12" x14ac:dyDescent="0.3">
      <c r="K220" s="2" t="s">
        <v>77</v>
      </c>
      <c r="L220" s="2">
        <v>278.94</v>
      </c>
    </row>
    <row r="221" spans="11:12" x14ac:dyDescent="0.3">
      <c r="K221" s="2" t="s">
        <v>78</v>
      </c>
      <c r="L221" s="2">
        <v>335.45</v>
      </c>
    </row>
    <row r="222" spans="11:12" x14ac:dyDescent="0.3">
      <c r="K222" s="2" t="s">
        <v>79</v>
      </c>
      <c r="L222" s="2">
        <v>385.31</v>
      </c>
    </row>
    <row r="223" spans="11:12" x14ac:dyDescent="0.3">
      <c r="K223" s="2" t="s">
        <v>80</v>
      </c>
      <c r="L223" s="2" t="s">
        <v>81</v>
      </c>
    </row>
    <row r="224" spans="11:12" x14ac:dyDescent="0.3">
      <c r="K224" s="2" t="s">
        <v>82</v>
      </c>
      <c r="L224" s="2">
        <v>1.77</v>
      </c>
    </row>
    <row r="225" spans="11:12" x14ac:dyDescent="0.3">
      <c r="K225" s="2" t="s">
        <v>83</v>
      </c>
      <c r="L225" s="2">
        <v>1.81</v>
      </c>
    </row>
    <row r="226" spans="11:12" x14ac:dyDescent="0.3">
      <c r="K226" s="2" t="s">
        <v>84</v>
      </c>
      <c r="L226" s="2">
        <v>1.85</v>
      </c>
    </row>
    <row r="227" spans="11:12" x14ac:dyDescent="0.3">
      <c r="K227" s="2" t="s">
        <v>85</v>
      </c>
      <c r="L227" s="2">
        <v>1.89</v>
      </c>
    </row>
    <row r="228" spans="11:12" x14ac:dyDescent="0.3">
      <c r="K228" s="2" t="s">
        <v>86</v>
      </c>
      <c r="L228" s="2">
        <v>1.95</v>
      </c>
    </row>
    <row r="229" spans="11:12" x14ac:dyDescent="0.3">
      <c r="K229" s="2" t="s">
        <v>87</v>
      </c>
      <c r="L229" s="2">
        <v>2</v>
      </c>
    </row>
    <row r="230" spans="11:12" x14ac:dyDescent="0.3">
      <c r="K230" s="2" t="s">
        <v>88</v>
      </c>
      <c r="L230" s="2">
        <v>2</v>
      </c>
    </row>
    <row r="231" spans="11:12" x14ac:dyDescent="0.3">
      <c r="K231" s="2" t="s">
        <v>89</v>
      </c>
      <c r="L231" s="2">
        <v>2</v>
      </c>
    </row>
    <row r="232" spans="11:12" x14ac:dyDescent="0.3">
      <c r="K232" s="2" t="s">
        <v>90</v>
      </c>
      <c r="L232" s="2">
        <v>2</v>
      </c>
    </row>
    <row r="233" spans="11:12" x14ac:dyDescent="0.3">
      <c r="K233" s="2" t="s">
        <v>91</v>
      </c>
      <c r="L233" s="2">
        <v>0</v>
      </c>
    </row>
    <row r="234" spans="11:12" x14ac:dyDescent="0.3">
      <c r="K234" s="2" t="s">
        <v>92</v>
      </c>
      <c r="L234" s="2">
        <v>54.87</v>
      </c>
    </row>
    <row r="235" spans="11:12" x14ac:dyDescent="0.3">
      <c r="K235" s="2" t="s">
        <v>93</v>
      </c>
      <c r="L235" s="2">
        <v>72.28</v>
      </c>
    </row>
    <row r="236" spans="11:12" x14ac:dyDescent="0.3">
      <c r="K236" s="2" t="s">
        <v>94</v>
      </c>
      <c r="L236" s="2">
        <v>84.03</v>
      </c>
    </row>
    <row r="237" spans="11:12" x14ac:dyDescent="0.3">
      <c r="K237" s="2" t="s">
        <v>95</v>
      </c>
      <c r="L237" s="2">
        <v>95.46</v>
      </c>
    </row>
    <row r="238" spans="11:12" x14ac:dyDescent="0.3">
      <c r="K238" s="2" t="s">
        <v>96</v>
      </c>
      <c r="L238" s="2">
        <v>110.49</v>
      </c>
    </row>
    <row r="239" spans="11:12" x14ac:dyDescent="0.3">
      <c r="K239" s="2" t="s">
        <v>97</v>
      </c>
      <c r="L239" s="2">
        <v>121.94</v>
      </c>
    </row>
    <row r="240" spans="11:12" x14ac:dyDescent="0.3">
      <c r="K240" s="2" t="s">
        <v>98</v>
      </c>
      <c r="L240" s="2">
        <v>133.5</v>
      </c>
    </row>
    <row r="241" spans="11:12" x14ac:dyDescent="0.3">
      <c r="K241" s="2" t="s">
        <v>99</v>
      </c>
      <c r="L241" s="2">
        <v>149</v>
      </c>
    </row>
    <row r="242" spans="11:12" x14ac:dyDescent="0.3">
      <c r="K242" s="2" t="s">
        <v>100</v>
      </c>
      <c r="L242" s="2">
        <v>160.9</v>
      </c>
    </row>
    <row r="243" spans="11:12" x14ac:dyDescent="0.3">
      <c r="K243" s="2" t="s">
        <v>101</v>
      </c>
      <c r="L243" s="2" t="s">
        <v>81</v>
      </c>
    </row>
    <row r="244" spans="11:12" x14ac:dyDescent="0.3">
      <c r="K244" s="2" t="s">
        <v>102</v>
      </c>
      <c r="L244" s="2">
        <v>1.72</v>
      </c>
    </row>
    <row r="245" spans="11:12" x14ac:dyDescent="0.3">
      <c r="K245" s="2" t="s">
        <v>103</v>
      </c>
      <c r="L245" s="2">
        <v>1.74</v>
      </c>
    </row>
    <row r="246" spans="11:12" x14ac:dyDescent="0.3">
      <c r="K246" s="2" t="s">
        <v>104</v>
      </c>
      <c r="L246" s="2">
        <v>1.76</v>
      </c>
    </row>
    <row r="247" spans="11:12" x14ac:dyDescent="0.3">
      <c r="K247" s="2" t="s">
        <v>105</v>
      </c>
      <c r="L247" s="2">
        <v>1.78</v>
      </c>
    </row>
    <row r="248" spans="11:12" x14ac:dyDescent="0.3">
      <c r="K248" s="2" t="s">
        <v>106</v>
      </c>
      <c r="L248" s="2">
        <v>1.8</v>
      </c>
    </row>
    <row r="249" spans="11:12" x14ac:dyDescent="0.3">
      <c r="K249" s="2" t="s">
        <v>107</v>
      </c>
      <c r="L249" s="2">
        <v>1.81</v>
      </c>
    </row>
    <row r="250" spans="11:12" x14ac:dyDescent="0.3">
      <c r="K250" s="2" t="s">
        <v>108</v>
      </c>
      <c r="L250" s="2">
        <v>1.82</v>
      </c>
    </row>
    <row r="251" spans="11:12" x14ac:dyDescent="0.3">
      <c r="K251" s="2" t="s">
        <v>109</v>
      </c>
      <c r="L251" s="2">
        <v>1.84</v>
      </c>
    </row>
    <row r="252" spans="11:12" x14ac:dyDescent="0.3">
      <c r="K252" s="2" t="s">
        <v>110</v>
      </c>
      <c r="L252" s="2">
        <v>1.87</v>
      </c>
    </row>
    <row r="253" spans="11:12" x14ac:dyDescent="0.3">
      <c r="K253" s="2" t="s">
        <v>111</v>
      </c>
      <c r="L253" s="2">
        <v>0</v>
      </c>
    </row>
    <row r="254" spans="11:12" x14ac:dyDescent="0.3">
      <c r="K254" s="2" t="s">
        <v>112</v>
      </c>
      <c r="L254" s="2">
        <v>0</v>
      </c>
    </row>
    <row r="255" spans="11:12" x14ac:dyDescent="0.3">
      <c r="K255" s="2" t="s">
        <v>113</v>
      </c>
      <c r="L255" s="2">
        <v>99.8</v>
      </c>
    </row>
    <row r="256" spans="11:12" x14ac:dyDescent="0.3">
      <c r="K256" s="2" t="s">
        <v>114</v>
      </c>
      <c r="L256" s="2">
        <v>125.12</v>
      </c>
    </row>
    <row r="257" spans="11:12" x14ac:dyDescent="0.3">
      <c r="K257" s="2" t="s">
        <v>115</v>
      </c>
      <c r="L257" s="2">
        <v>148.26</v>
      </c>
    </row>
    <row r="258" spans="11:12" x14ac:dyDescent="0.3">
      <c r="K258" s="2" t="s">
        <v>116</v>
      </c>
      <c r="L258" s="2">
        <v>173.05</v>
      </c>
    </row>
    <row r="259" spans="11:12" x14ac:dyDescent="0.3">
      <c r="K259" s="2" t="s">
        <v>117</v>
      </c>
      <c r="L259" s="2">
        <v>210.11</v>
      </c>
    </row>
    <row r="260" spans="11:12" x14ac:dyDescent="0.3">
      <c r="K260" s="2" t="s">
        <v>118</v>
      </c>
      <c r="L260" s="2">
        <v>242.37</v>
      </c>
    </row>
    <row r="261" spans="11:12" x14ac:dyDescent="0.3">
      <c r="K261" s="2" t="s">
        <v>119</v>
      </c>
      <c r="L261" s="2">
        <v>279.06</v>
      </c>
    </row>
    <row r="262" spans="11:12" x14ac:dyDescent="0.3">
      <c r="K262" s="2" t="s">
        <v>120</v>
      </c>
      <c r="L262" s="2">
        <v>335.59</v>
      </c>
    </row>
    <row r="263" spans="11:12" x14ac:dyDescent="0.3">
      <c r="K263" s="2" t="s">
        <v>121</v>
      </c>
      <c r="L263" s="2">
        <v>385.47</v>
      </c>
    </row>
    <row r="264" spans="11:12" x14ac:dyDescent="0.3">
      <c r="K264" s="2" t="s">
        <v>122</v>
      </c>
      <c r="L264" s="2" t="s">
        <v>81</v>
      </c>
    </row>
    <row r="265" spans="11:12" x14ac:dyDescent="0.3">
      <c r="K265" s="2" t="s">
        <v>123</v>
      </c>
      <c r="L265" s="2">
        <v>2.0499999999999998</v>
      </c>
    </row>
    <row r="266" spans="11:12" x14ac:dyDescent="0.3">
      <c r="K266" s="2" t="s">
        <v>124</v>
      </c>
      <c r="L266" s="2">
        <v>2.0499999999999998</v>
      </c>
    </row>
    <row r="267" spans="11:12" x14ac:dyDescent="0.3">
      <c r="K267" s="2" t="s">
        <v>125</v>
      </c>
      <c r="L267" s="2">
        <v>2.0499999999999998</v>
      </c>
    </row>
    <row r="268" spans="11:12" x14ac:dyDescent="0.3">
      <c r="K268" s="2" t="s">
        <v>126</v>
      </c>
      <c r="L268" s="2">
        <v>2.0499999999999998</v>
      </c>
    </row>
    <row r="269" spans="11:12" x14ac:dyDescent="0.3">
      <c r="K269" s="2" t="s">
        <v>127</v>
      </c>
      <c r="L269" s="2">
        <v>2.0499999999999998</v>
      </c>
    </row>
    <row r="270" spans="11:12" x14ac:dyDescent="0.3">
      <c r="K270" s="2" t="s">
        <v>128</v>
      </c>
      <c r="L270" s="2">
        <v>2.0499999999999998</v>
      </c>
    </row>
    <row r="271" spans="11:12" x14ac:dyDescent="0.3">
      <c r="K271" s="2" t="s">
        <v>129</v>
      </c>
      <c r="L271" s="2">
        <v>2.0499999999999998</v>
      </c>
    </row>
    <row r="272" spans="11:12" x14ac:dyDescent="0.3">
      <c r="K272" s="2" t="s">
        <v>130</v>
      </c>
      <c r="L272" s="2">
        <v>2.0499999999999998</v>
      </c>
    </row>
    <row r="273" spans="11:12" x14ac:dyDescent="0.3">
      <c r="K273" s="2" t="s">
        <v>131</v>
      </c>
      <c r="L273" s="2">
        <v>2.0499999999999998</v>
      </c>
    </row>
    <row r="274" spans="11:12" x14ac:dyDescent="0.3">
      <c r="K274" s="2" t="s">
        <v>132</v>
      </c>
      <c r="L274" s="2">
        <v>0</v>
      </c>
    </row>
    <row r="275" spans="11:12" x14ac:dyDescent="0.3">
      <c r="K275" s="2" t="s">
        <v>133</v>
      </c>
      <c r="L275" s="2">
        <v>0</v>
      </c>
    </row>
    <row r="276" spans="11:12" x14ac:dyDescent="0.3">
      <c r="K276" s="2" t="s">
        <v>134</v>
      </c>
      <c r="L276" s="2">
        <v>0</v>
      </c>
    </row>
    <row r="277" spans="11:12" x14ac:dyDescent="0.3">
      <c r="K277" s="2" t="s">
        <v>135</v>
      </c>
      <c r="L277" s="2">
        <v>0</v>
      </c>
    </row>
    <row r="278" spans="11:12" x14ac:dyDescent="0.3">
      <c r="K278" s="2" t="s">
        <v>136</v>
      </c>
      <c r="L278" s="2">
        <v>0</v>
      </c>
    </row>
    <row r="279" spans="11:12" x14ac:dyDescent="0.3">
      <c r="K279" s="2" t="s">
        <v>137</v>
      </c>
      <c r="L279" s="2">
        <v>0</v>
      </c>
    </row>
    <row r="280" spans="11:12" x14ac:dyDescent="0.3">
      <c r="K280" s="2" t="s">
        <v>138</v>
      </c>
      <c r="L280" s="2">
        <v>0</v>
      </c>
    </row>
    <row r="281" spans="11:12" x14ac:dyDescent="0.3">
      <c r="K281" s="2" t="s">
        <v>139</v>
      </c>
      <c r="L281" s="2">
        <v>0</v>
      </c>
    </row>
    <row r="282" spans="11:12" x14ac:dyDescent="0.3">
      <c r="K282" s="2" t="s">
        <v>140</v>
      </c>
      <c r="L282" s="2">
        <v>0</v>
      </c>
    </row>
    <row r="283" spans="11:12" x14ac:dyDescent="0.3">
      <c r="K283" s="2" t="s">
        <v>141</v>
      </c>
      <c r="L283" s="2" t="s">
        <v>81</v>
      </c>
    </row>
    <row r="284" spans="11:12" x14ac:dyDescent="0.3">
      <c r="K284" s="2" t="s">
        <v>142</v>
      </c>
      <c r="L284" s="2">
        <v>-999</v>
      </c>
    </row>
    <row r="285" spans="11:12" x14ac:dyDescent="0.3">
      <c r="K285" s="2" t="s">
        <v>143</v>
      </c>
      <c r="L285" s="2">
        <v>-999</v>
      </c>
    </row>
    <row r="286" spans="11:12" x14ac:dyDescent="0.3">
      <c r="K286" s="2" t="s">
        <v>144</v>
      </c>
      <c r="L286" s="2">
        <v>-999</v>
      </c>
    </row>
    <row r="287" spans="11:12" x14ac:dyDescent="0.3">
      <c r="K287" s="2" t="s">
        <v>145</v>
      </c>
      <c r="L287" s="2">
        <v>-999</v>
      </c>
    </row>
    <row r="288" spans="11:12" x14ac:dyDescent="0.3">
      <c r="K288" s="2" t="s">
        <v>146</v>
      </c>
      <c r="L288" s="2">
        <v>-999</v>
      </c>
    </row>
    <row r="289" spans="11:12" x14ac:dyDescent="0.3">
      <c r="K289" s="2" t="s">
        <v>147</v>
      </c>
      <c r="L289" s="2">
        <v>-999</v>
      </c>
    </row>
    <row r="290" spans="11:12" x14ac:dyDescent="0.3">
      <c r="K290" s="2" t="s">
        <v>148</v>
      </c>
      <c r="L290" s="2">
        <v>-999</v>
      </c>
    </row>
    <row r="291" spans="11:12" x14ac:dyDescent="0.3">
      <c r="K291" s="2" t="s">
        <v>149</v>
      </c>
      <c r="L291" s="2">
        <v>-999</v>
      </c>
    </row>
    <row r="292" spans="11:12" x14ac:dyDescent="0.3">
      <c r="K292" s="2" t="s">
        <v>150</v>
      </c>
      <c r="L292" s="2">
        <v>-999</v>
      </c>
    </row>
    <row r="293" spans="11:12" x14ac:dyDescent="0.3">
      <c r="K293" s="2" t="s">
        <v>151</v>
      </c>
      <c r="L293" s="2">
        <v>446.25</v>
      </c>
    </row>
    <row r="294" spans="11:12" x14ac:dyDescent="0.3">
      <c r="K294" s="2" t="s">
        <v>152</v>
      </c>
      <c r="L294" s="2">
        <v>562.55999999999995</v>
      </c>
    </row>
    <row r="295" spans="11:12" x14ac:dyDescent="0.3">
      <c r="K295" s="2" t="s">
        <v>153</v>
      </c>
      <c r="L295" s="2">
        <v>592.74</v>
      </c>
    </row>
    <row r="296" spans="11:12" x14ac:dyDescent="0.3">
      <c r="K296" s="2" t="s">
        <v>154</v>
      </c>
      <c r="L296" s="2">
        <v>780.89</v>
      </c>
    </row>
    <row r="297" spans="11:12" x14ac:dyDescent="0.3">
      <c r="K297" s="2" t="s">
        <v>155</v>
      </c>
      <c r="L297" s="2">
        <v>733.59</v>
      </c>
    </row>
    <row r="298" spans="11:12" x14ac:dyDescent="0.3">
      <c r="K298" s="2" t="s">
        <v>156</v>
      </c>
      <c r="L298" s="2">
        <v>404.69</v>
      </c>
    </row>
    <row r="299" spans="11:12" x14ac:dyDescent="0.3">
      <c r="K299" s="2" t="s">
        <v>157</v>
      </c>
      <c r="L299" s="2">
        <v>479.01</v>
      </c>
    </row>
    <row r="300" spans="11:12" x14ac:dyDescent="0.3">
      <c r="K300" s="2" t="s">
        <v>158</v>
      </c>
      <c r="L300" s="2">
        <v>683.68</v>
      </c>
    </row>
    <row r="301" spans="11:12" x14ac:dyDescent="0.3">
      <c r="K301" s="2" t="s">
        <v>159</v>
      </c>
      <c r="L301" s="2">
        <v>684.08</v>
      </c>
    </row>
    <row r="302" spans="11:12" x14ac:dyDescent="0.3">
      <c r="K302" s="2" t="s">
        <v>160</v>
      </c>
      <c r="L302" s="2">
        <v>942.92</v>
      </c>
    </row>
    <row r="303" spans="11:12" x14ac:dyDescent="0.3">
      <c r="K303" s="2" t="s">
        <v>161</v>
      </c>
      <c r="L303" s="2">
        <v>829.2</v>
      </c>
    </row>
    <row r="304" spans="11:12" x14ac:dyDescent="0.3">
      <c r="K304" s="2" t="s">
        <v>162</v>
      </c>
      <c r="L304" s="2">
        <v>554.58000000000004</v>
      </c>
    </row>
    <row r="305" spans="11:12" x14ac:dyDescent="0.3">
      <c r="K305" s="2" t="s">
        <v>163</v>
      </c>
      <c r="L305" s="2">
        <v>594.01</v>
      </c>
    </row>
    <row r="306" spans="11:12" x14ac:dyDescent="0.3">
      <c r="K306" s="2" t="s">
        <v>164</v>
      </c>
      <c r="L306" s="2">
        <v>677.82</v>
      </c>
    </row>
    <row r="307" spans="11:12" x14ac:dyDescent="0.3">
      <c r="K307" s="2" t="s">
        <v>165</v>
      </c>
      <c r="L307" s="2">
        <v>657.82</v>
      </c>
    </row>
    <row r="308" spans="11:12" x14ac:dyDescent="0.3">
      <c r="K308" s="2" t="s">
        <v>166</v>
      </c>
      <c r="L308" s="2">
        <v>712.48</v>
      </c>
    </row>
    <row r="309" spans="11:12" x14ac:dyDescent="0.3">
      <c r="K309" s="2" t="s">
        <v>167</v>
      </c>
      <c r="L309" s="2">
        <v>741.79</v>
      </c>
    </row>
    <row r="310" spans="11:12" x14ac:dyDescent="0.3">
      <c r="K310" s="2" t="s">
        <v>168</v>
      </c>
      <c r="L310" s="2">
        <v>737.07</v>
      </c>
    </row>
    <row r="311" spans="11:12" x14ac:dyDescent="0.3">
      <c r="K311" s="2" t="s">
        <v>169</v>
      </c>
      <c r="L311" s="2">
        <v>606.1</v>
      </c>
    </row>
    <row r="312" spans="11:12" x14ac:dyDescent="0.3">
      <c r="K312" s="2" t="s">
        <v>170</v>
      </c>
      <c r="L312" s="2">
        <v>635.36</v>
      </c>
    </row>
    <row r="313" spans="11:12" x14ac:dyDescent="0.3">
      <c r="K313" s="2" t="s">
        <v>171</v>
      </c>
      <c r="L313" s="2">
        <v>868.27</v>
      </c>
    </row>
    <row r="314" spans="11:12" x14ac:dyDescent="0.3">
      <c r="K314" s="2" t="s">
        <v>172</v>
      </c>
      <c r="L314" s="2">
        <v>630.47</v>
      </c>
    </row>
    <row r="315" spans="11:12" x14ac:dyDescent="0.3">
      <c r="K315" s="2" t="s">
        <v>173</v>
      </c>
      <c r="L315" s="2">
        <v>922.95</v>
      </c>
    </row>
    <row r="316" spans="11:12" x14ac:dyDescent="0.3">
      <c r="K316" s="2" t="s">
        <v>174</v>
      </c>
      <c r="L316" s="2">
        <v>879.8</v>
      </c>
    </row>
    <row r="317" spans="11:12" x14ac:dyDescent="0.3">
      <c r="K317" s="2" t="s">
        <v>175</v>
      </c>
      <c r="L317" s="2">
        <v>779.75</v>
      </c>
    </row>
    <row r="318" spans="11:12" x14ac:dyDescent="0.3">
      <c r="K318" s="2" t="s">
        <v>176</v>
      </c>
      <c r="L318" s="2">
        <v>652.32000000000005</v>
      </c>
    </row>
    <row r="319" spans="11:12" x14ac:dyDescent="0.3">
      <c r="K319" s="2" t="s">
        <v>177</v>
      </c>
      <c r="L319" s="2">
        <v>684.31</v>
      </c>
    </row>
    <row r="320" spans="11:12" x14ac:dyDescent="0.3">
      <c r="K320" s="2" t="s">
        <v>178</v>
      </c>
      <c r="L320" s="2">
        <v>647.04</v>
      </c>
    </row>
    <row r="321" spans="11:12" x14ac:dyDescent="0.3">
      <c r="K321" s="2" t="s">
        <v>179</v>
      </c>
      <c r="L321" s="2">
        <v>674.28</v>
      </c>
    </row>
    <row r="322" spans="11:12" x14ac:dyDescent="0.3">
      <c r="K322" s="2" t="s">
        <v>180</v>
      </c>
      <c r="L322" s="2">
        <v>1047.19</v>
      </c>
    </row>
    <row r="323" spans="11:12" x14ac:dyDescent="0.3">
      <c r="K323" s="2" t="s">
        <v>181</v>
      </c>
      <c r="L323" s="2">
        <v>0</v>
      </c>
    </row>
    <row r="324" spans="11:12" x14ac:dyDescent="0.3">
      <c r="K324" s="2" t="s">
        <v>182</v>
      </c>
      <c r="L324" s="2">
        <v>613.88</v>
      </c>
    </row>
    <row r="325" spans="11:12" x14ac:dyDescent="0.3">
      <c r="K325" s="2" t="s">
        <v>183</v>
      </c>
      <c r="L325" s="2">
        <v>19.45</v>
      </c>
    </row>
    <row r="326" spans="11:12" x14ac:dyDescent="0.3">
      <c r="K326" s="2" t="s">
        <v>184</v>
      </c>
      <c r="L326" s="2">
        <v>249.77</v>
      </c>
    </row>
    <row r="327" spans="11:12" x14ac:dyDescent="0.3">
      <c r="K327" s="2" t="s">
        <v>185</v>
      </c>
      <c r="L327" s="2">
        <v>13.88</v>
      </c>
    </row>
    <row r="328" spans="11:12" x14ac:dyDescent="0.3">
      <c r="K328" s="2" t="s">
        <v>186</v>
      </c>
      <c r="L328" s="2">
        <v>11.79</v>
      </c>
    </row>
    <row r="329" spans="11:12" x14ac:dyDescent="0.3">
      <c r="K329" s="2" t="s">
        <v>187</v>
      </c>
      <c r="L329" s="2">
        <v>12.64</v>
      </c>
    </row>
    <row r="330" spans="11:12" x14ac:dyDescent="0.3">
      <c r="K330" s="2" t="s">
        <v>188</v>
      </c>
      <c r="L330" s="2">
        <v>26.63</v>
      </c>
    </row>
    <row r="331" spans="11:12" x14ac:dyDescent="0.3">
      <c r="K331" s="2" t="s">
        <v>356</v>
      </c>
      <c r="L331" s="2">
        <v>117.6</v>
      </c>
    </row>
    <row r="332" spans="11:12" x14ac:dyDescent="0.3">
      <c r="K332" s="2" t="s">
        <v>357</v>
      </c>
      <c r="L332" s="2">
        <v>177.46</v>
      </c>
    </row>
    <row r="333" spans="11:12" x14ac:dyDescent="0.3">
      <c r="K333" s="2" t="s">
        <v>358</v>
      </c>
      <c r="L333" s="2">
        <v>95.71</v>
      </c>
    </row>
    <row r="334" spans="11:12" x14ac:dyDescent="0.3">
      <c r="K334" s="2" t="s">
        <v>359</v>
      </c>
      <c r="L334" s="2">
        <v>66.22</v>
      </c>
    </row>
    <row r="335" spans="11:12" x14ac:dyDescent="0.3">
      <c r="K335" s="2" t="s">
        <v>360</v>
      </c>
      <c r="L335" s="2">
        <v>57.55</v>
      </c>
    </row>
    <row r="336" spans="11:12" x14ac:dyDescent="0.3">
      <c r="K336" s="2" t="s">
        <v>361</v>
      </c>
      <c r="L336" s="2">
        <v>56.76</v>
      </c>
    </row>
    <row r="337" spans="11:12" x14ac:dyDescent="0.3">
      <c r="K337" s="2" t="s">
        <v>362</v>
      </c>
      <c r="L337" s="2">
        <v>30.31</v>
      </c>
    </row>
    <row r="338" spans="11:12" x14ac:dyDescent="0.3">
      <c r="K338" s="2" t="s">
        <v>363</v>
      </c>
      <c r="L338" s="2">
        <v>17.95</v>
      </c>
    </row>
    <row r="339" spans="11:12" x14ac:dyDescent="0.3">
      <c r="K339" s="2" t="s">
        <v>364</v>
      </c>
      <c r="L339" s="2">
        <v>342252997</v>
      </c>
    </row>
    <row r="340" spans="11:12" x14ac:dyDescent="0.3">
      <c r="K340" s="2" t="s">
        <v>365</v>
      </c>
      <c r="L340" s="2">
        <v>144370.70000000001</v>
      </c>
    </row>
  </sheetData>
  <pageMargins left="0.7" right="0.7" top="0.75" bottom="0.75" header="0.3" footer="0.3"/>
  <ignoredErrors>
    <ignoredError sqref="H4:I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CCA7-1DB8-4F56-8584-62F861C4FDE8}">
  <dimension ref="A1:B51"/>
  <sheetViews>
    <sheetView workbookViewId="0">
      <selection sqref="A1:B1048576"/>
    </sheetView>
  </sheetViews>
  <sheetFormatPr defaultRowHeight="23.4" x14ac:dyDescent="0.45"/>
  <cols>
    <col min="1" max="1" width="36" style="9" customWidth="1"/>
    <col min="2" max="2" width="26.109375" style="9" customWidth="1"/>
    <col min="3" max="16384" width="8.88671875" style="9"/>
  </cols>
  <sheetData>
    <row r="1" spans="1:2" ht="27.6" thickBot="1" x14ac:dyDescent="0.5">
      <c r="A1" s="7"/>
      <c r="B1" s="8">
        <v>1</v>
      </c>
    </row>
    <row r="2" spans="1:2" ht="27.6" thickBot="1" x14ac:dyDescent="0.5">
      <c r="A2" s="10" t="s">
        <v>19</v>
      </c>
      <c r="B2" s="11">
        <v>1</v>
      </c>
    </row>
    <row r="3" spans="1:2" ht="27.6" thickBot="1" x14ac:dyDescent="0.5">
      <c r="A3" s="10" t="s">
        <v>20</v>
      </c>
      <c r="B3" s="11" t="s">
        <v>68</v>
      </c>
    </row>
    <row r="4" spans="1:2" ht="27.6" thickBot="1" x14ac:dyDescent="0.5">
      <c r="A4" s="10" t="s">
        <v>21</v>
      </c>
      <c r="B4" s="11" t="s">
        <v>69</v>
      </c>
    </row>
    <row r="5" spans="1:2" ht="27.6" thickBot="1" x14ac:dyDescent="0.5">
      <c r="A5" s="10" t="s">
        <v>22</v>
      </c>
      <c r="B5" s="11" t="s">
        <v>70</v>
      </c>
    </row>
    <row r="6" spans="1:2" ht="27.6" thickBot="1" x14ac:dyDescent="0.5">
      <c r="A6" s="10" t="s">
        <v>23</v>
      </c>
      <c r="B6" s="11" t="s">
        <v>70</v>
      </c>
    </row>
    <row r="7" spans="1:2" ht="27.6" thickBot="1" x14ac:dyDescent="0.5">
      <c r="A7" s="10" t="s">
        <v>18</v>
      </c>
      <c r="B7" s="11">
        <v>342.3</v>
      </c>
    </row>
    <row r="8" spans="1:2" ht="27.6" thickBot="1" x14ac:dyDescent="0.5">
      <c r="A8" s="10" t="s">
        <v>24</v>
      </c>
      <c r="B8" s="11">
        <v>805.1</v>
      </c>
    </row>
    <row r="9" spans="1:2" ht="27.6" thickBot="1" x14ac:dyDescent="0.5">
      <c r="A9" s="10" t="s">
        <v>25</v>
      </c>
      <c r="B9" s="11">
        <v>25.5</v>
      </c>
    </row>
    <row r="10" spans="1:2" ht="27.6" thickBot="1" x14ac:dyDescent="0.5">
      <c r="A10" s="10" t="s">
        <v>26</v>
      </c>
      <c r="B10" s="11">
        <v>201</v>
      </c>
    </row>
    <row r="11" spans="1:2" ht="27.6" thickBot="1" x14ac:dyDescent="0.5">
      <c r="A11" s="10" t="s">
        <v>27</v>
      </c>
      <c r="B11" s="11">
        <v>821</v>
      </c>
    </row>
    <row r="12" spans="1:2" ht="27.6" thickBot="1" x14ac:dyDescent="0.5">
      <c r="A12" s="10" t="s">
        <v>28</v>
      </c>
      <c r="B12" s="11">
        <v>923</v>
      </c>
    </row>
    <row r="13" spans="1:2" ht="27.6" thickBot="1" x14ac:dyDescent="0.5">
      <c r="A13" s="10" t="s">
        <v>29</v>
      </c>
      <c r="B13" s="11">
        <v>968</v>
      </c>
    </row>
    <row r="14" spans="1:2" ht="27.6" thickBot="1" x14ac:dyDescent="0.5">
      <c r="A14" s="10" t="s">
        <v>30</v>
      </c>
      <c r="B14" s="11">
        <v>1081</v>
      </c>
    </row>
    <row r="15" spans="1:2" ht="27.6" thickBot="1" x14ac:dyDescent="0.5">
      <c r="A15" s="10" t="s">
        <v>31</v>
      </c>
      <c r="B15" s="11">
        <v>1171</v>
      </c>
    </row>
    <row r="16" spans="1:2" ht="27.6" thickBot="1" x14ac:dyDescent="0.5">
      <c r="A16" s="10" t="s">
        <v>32</v>
      </c>
      <c r="B16" s="11">
        <v>1220</v>
      </c>
    </row>
    <row r="17" spans="1:2" ht="27.6" thickBot="1" x14ac:dyDescent="0.5">
      <c r="A17" s="10" t="s">
        <v>33</v>
      </c>
      <c r="B17" s="11">
        <v>1248</v>
      </c>
    </row>
    <row r="18" spans="1:2" ht="27.6" thickBot="1" x14ac:dyDescent="0.5">
      <c r="A18" s="10" t="s">
        <v>34</v>
      </c>
      <c r="B18" s="11">
        <v>1282</v>
      </c>
    </row>
    <row r="19" spans="1:2" ht="27.6" thickBot="1" x14ac:dyDescent="0.5">
      <c r="A19" s="10" t="s">
        <v>35</v>
      </c>
      <c r="B19" s="11">
        <v>1319</v>
      </c>
    </row>
    <row r="20" spans="1:2" ht="27.6" thickBot="1" x14ac:dyDescent="0.5">
      <c r="A20" s="10" t="s">
        <v>36</v>
      </c>
      <c r="B20" s="11">
        <v>1482</v>
      </c>
    </row>
    <row r="21" spans="1:2" ht="27.6" thickBot="1" x14ac:dyDescent="0.5">
      <c r="A21" s="10" t="s">
        <v>37</v>
      </c>
      <c r="B21" s="11">
        <v>4.4000000000000004</v>
      </c>
    </row>
    <row r="22" spans="1:2" ht="27.6" thickBot="1" x14ac:dyDescent="0.5">
      <c r="A22" s="10" t="s">
        <v>38</v>
      </c>
      <c r="B22" s="11">
        <v>0</v>
      </c>
    </row>
    <row r="23" spans="1:2" ht="27.6" thickBot="1" x14ac:dyDescent="0.5">
      <c r="A23" s="10" t="s">
        <v>39</v>
      </c>
      <c r="B23" s="11">
        <v>33.200000000000003</v>
      </c>
    </row>
    <row r="24" spans="1:2" ht="27.6" thickBot="1" x14ac:dyDescent="0.5">
      <c r="A24" s="10" t="s">
        <v>40</v>
      </c>
      <c r="B24" s="11">
        <v>0.9</v>
      </c>
    </row>
    <row r="25" spans="1:2" ht="27.6" thickBot="1" x14ac:dyDescent="0.5">
      <c r="A25" s="10" t="s">
        <v>41</v>
      </c>
      <c r="B25" s="11">
        <v>5.6</v>
      </c>
    </row>
    <row r="26" spans="1:2" ht="27.6" thickBot="1" x14ac:dyDescent="0.5">
      <c r="A26" s="10" t="s">
        <v>42</v>
      </c>
      <c r="B26" s="11">
        <v>53.8</v>
      </c>
    </row>
    <row r="27" spans="1:2" ht="27.6" thickBot="1" x14ac:dyDescent="0.5">
      <c r="A27" s="10" t="s">
        <v>43</v>
      </c>
      <c r="B27" s="11">
        <v>0</v>
      </c>
    </row>
    <row r="28" spans="1:2" ht="27.6" thickBot="1" x14ac:dyDescent="0.5">
      <c r="A28" s="10" t="s">
        <v>44</v>
      </c>
      <c r="B28" s="11">
        <v>2.1</v>
      </c>
    </row>
    <row r="29" spans="1:2" ht="27.6" thickBot="1" x14ac:dyDescent="0.5">
      <c r="A29" s="10" t="s">
        <v>45</v>
      </c>
      <c r="B29" s="11">
        <v>0</v>
      </c>
    </row>
    <row r="30" spans="1:2" ht="27.6" thickBot="1" x14ac:dyDescent="0.5">
      <c r="A30" s="10" t="s">
        <v>46</v>
      </c>
      <c r="B30" s="11">
        <v>0</v>
      </c>
    </row>
    <row r="31" spans="1:2" ht="27.6" thickBot="1" x14ac:dyDescent="0.5">
      <c r="A31" s="10" t="s">
        <v>47</v>
      </c>
      <c r="B31" s="11">
        <v>0</v>
      </c>
    </row>
    <row r="32" spans="1:2" ht="27.6" thickBot="1" x14ac:dyDescent="0.5">
      <c r="A32" s="10" t="s">
        <v>48</v>
      </c>
      <c r="B32" s="11">
        <v>0</v>
      </c>
    </row>
    <row r="33" spans="1:2" ht="27.6" thickBot="1" x14ac:dyDescent="0.5">
      <c r="A33" s="10" t="s">
        <v>49</v>
      </c>
      <c r="B33" s="11">
        <v>0</v>
      </c>
    </row>
    <row r="34" spans="1:2" ht="27.6" thickBot="1" x14ac:dyDescent="0.5">
      <c r="A34" s="10" t="s">
        <v>50</v>
      </c>
      <c r="B34" s="11">
        <v>0</v>
      </c>
    </row>
    <row r="35" spans="1:2" ht="27.6" thickBot="1" x14ac:dyDescent="0.5">
      <c r="A35" s="10" t="s">
        <v>51</v>
      </c>
      <c r="B35" s="11">
        <v>0</v>
      </c>
    </row>
    <row r="36" spans="1:2" ht="27.6" thickBot="1" x14ac:dyDescent="0.5">
      <c r="A36" s="10" t="s">
        <v>52</v>
      </c>
      <c r="B36" s="11">
        <v>0</v>
      </c>
    </row>
    <row r="37" spans="1:2" ht="27.6" thickBot="1" x14ac:dyDescent="0.5">
      <c r="A37" s="10" t="s">
        <v>53</v>
      </c>
      <c r="B37" s="11">
        <v>0.1</v>
      </c>
    </row>
    <row r="38" spans="1:2" ht="27.6" thickBot="1" x14ac:dyDescent="0.5">
      <c r="A38" s="10" t="s">
        <v>54</v>
      </c>
      <c r="B38" s="11">
        <v>-999</v>
      </c>
    </row>
    <row r="39" spans="1:2" ht="27.6" thickBot="1" x14ac:dyDescent="0.5">
      <c r="A39" s="10" t="s">
        <v>55</v>
      </c>
      <c r="B39" s="11">
        <v>34.700000000000003</v>
      </c>
    </row>
    <row r="40" spans="1:2" ht="27.6" thickBot="1" x14ac:dyDescent="0.5">
      <c r="A40" s="10" t="s">
        <v>56</v>
      </c>
      <c r="B40" s="11">
        <v>47.7</v>
      </c>
    </row>
    <row r="41" spans="1:2" ht="27.6" thickBot="1" x14ac:dyDescent="0.5">
      <c r="A41" s="10" t="s">
        <v>57</v>
      </c>
      <c r="B41" s="11">
        <v>532.9</v>
      </c>
    </row>
    <row r="42" spans="1:2" ht="27.6" thickBot="1" x14ac:dyDescent="0.5">
      <c r="A42" s="10" t="s">
        <v>58</v>
      </c>
      <c r="B42" s="11">
        <v>-999</v>
      </c>
    </row>
    <row r="43" spans="1:2" ht="27.6" thickBot="1" x14ac:dyDescent="0.5">
      <c r="A43" s="10" t="s">
        <v>59</v>
      </c>
      <c r="B43" s="11">
        <v>24.7</v>
      </c>
    </row>
    <row r="44" spans="1:2" ht="27.6" thickBot="1" x14ac:dyDescent="0.5">
      <c r="A44" s="10" t="s">
        <v>60</v>
      </c>
      <c r="B44" s="11">
        <v>24.1</v>
      </c>
    </row>
    <row r="45" spans="1:2" ht="27.6" thickBot="1" x14ac:dyDescent="0.5">
      <c r="A45" s="10" t="s">
        <v>61</v>
      </c>
      <c r="B45" s="11">
        <v>1.8</v>
      </c>
    </row>
    <row r="46" spans="1:2" ht="27.6" thickBot="1" x14ac:dyDescent="0.5">
      <c r="A46" s="10" t="s">
        <v>62</v>
      </c>
      <c r="B46" s="11">
        <v>9.4</v>
      </c>
    </row>
    <row r="47" spans="1:2" ht="27.6" thickBot="1" x14ac:dyDescent="0.5">
      <c r="A47" s="10" t="s">
        <v>63</v>
      </c>
      <c r="B47" s="11">
        <v>0</v>
      </c>
    </row>
    <row r="48" spans="1:2" ht="27.6" thickBot="1" x14ac:dyDescent="0.5">
      <c r="A48" s="10" t="s">
        <v>64</v>
      </c>
      <c r="B48" s="11">
        <v>5.7</v>
      </c>
    </row>
    <row r="49" spans="1:2" ht="27.6" thickBot="1" x14ac:dyDescent="0.5">
      <c r="A49" s="10" t="s">
        <v>65</v>
      </c>
      <c r="B49" s="11">
        <v>-5.5</v>
      </c>
    </row>
    <row r="50" spans="1:2" ht="27.6" thickBot="1" x14ac:dyDescent="0.5">
      <c r="A50" s="10" t="s">
        <v>66</v>
      </c>
      <c r="B50" s="11">
        <v>393.4</v>
      </c>
    </row>
    <row r="51" spans="1:2" ht="27.6" thickBot="1" x14ac:dyDescent="0.5">
      <c r="A51" s="10" t="s">
        <v>67</v>
      </c>
      <c r="B51" s="11">
        <v>357.4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Norges vassdrags og energidirektorat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Jjunju</dc:creator>
  <cp:lastModifiedBy>Emmanuel Jjunju</cp:lastModifiedBy>
  <dcterms:created xsi:type="dcterms:W3CDTF">2026-02-11T23:44:45Z</dcterms:created>
  <dcterms:modified xsi:type="dcterms:W3CDTF">2026-02-12T01:08:26Z</dcterms:modified>
</cp:coreProperties>
</file>